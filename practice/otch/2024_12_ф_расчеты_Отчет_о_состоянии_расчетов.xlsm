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ЭтаКнига"/>
  <bookViews>
    <workbookView windowWidth="23040" windowHeight="8615"/>
  </bookViews>
  <sheets>
    <sheet name="Отчет" sheetId="3" r:id="rId1"/>
    <sheet name="Увязка" sheetId="4" r:id="rId2"/>
  </sheets>
  <definedNames>
    <definedName name="_xlnm.Print_Area" localSheetId="0">Отчет!$A$3:$AY$111</definedName>
    <definedName name="_xlnm.Print_Area" localSheetId="1">Увязка!$A$1:$K$189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bondar</author>
  </authors>
  <commentList>
    <comment ref="AP3" authorId="0">
      <text>
        <r>
          <rPr>
            <sz val="11"/>
            <rFont val="Times New Roman"/>
            <charset val="204"/>
          </rPr>
          <t>При заполнении отчета необходимо вводить данные 
в ячейки с голубой заливкой.</t>
        </r>
      </text>
    </comment>
    <comment ref="V14" authorId="0">
      <text>
        <r>
          <rPr>
            <sz val="10.5"/>
            <rFont val="Times New Roman"/>
            <charset val="204"/>
          </rPr>
          <t xml:space="preserve">  Отчет составляется на основании данных регистров бухгалтерского учета и гражданско-правовых договоров.
</t>
        </r>
        <r>
          <rPr>
            <b/>
            <i/>
            <sz val="10.5"/>
            <color indexed="18"/>
            <rFont val="Times New Roman"/>
            <charset val="204"/>
          </rPr>
          <t xml:space="preserve">  Данные отчета отражаются в тысячах рублей в целых числах.</t>
        </r>
        <r>
          <rPr>
            <sz val="10.5"/>
            <rFont val="Times New Roman"/>
            <charset val="204"/>
          </rPr>
          <t xml:space="preserve">
  На основании данных счетов бухгалтерского учета в первую очередь определяется значение показателя, а затем происходит его округление по правилам арифметики до тысяч рублей.</t>
        </r>
      </text>
    </comment>
    <comment ref="A19" authorId="0">
      <text>
        <r>
          <rPr>
            <sz val="10.5"/>
            <rFont val="Times New Roman"/>
            <charset val="204"/>
          </rPr>
          <t xml:space="preserve">  Государственную статистическую отчетность по форме 12-ф (расчеты) «Отчет о состоянии расчетов» (далее - отчет) представляют:
  1. коммерческие организации (кроме банков, небанковских кредитно-финансовых организаций и открытого акционерного общества «Банк развития Республики Беларусь», страховых организаций, крестьянских (фермерских) хозяйств):
  не являющиеся субъектами малого предпринимательства;
  малые организации, подчиненные (входящие в состав) государственным органам (организациям), а также малые организации, акции (доли в уставных фондах) которых находятся в государственной собственности и переданы в управление государственным органам (организациям);
  2. некоммерческие организации (кроме бюджетных организаций), осуществляющие производство продукции, выполнение работ, оказание услуг для реализации, со средней численностью работников за календарный год 16 человек и более.
  Некоммерческие организации (кроме бюджетных организаций), осуществляющие производство продукции, выполнение работ, оказание услуг для реализации, без ведомственной подчиненности, со средней численностью работников за календарный год от 16 до 100 человек включительно, представляют отчет только по состоянию на 1 января;
  3. обособленные подразделения юридических лиц, перечисленных в пунктах 1 и 2.</t>
        </r>
      </text>
    </comment>
    <comment ref="A20" authorId="0">
      <text>
        <r>
          <rPr>
            <sz val="10.5"/>
            <rFont val="Times New Roman"/>
            <charset val="204"/>
          </rPr>
          <t xml:space="preserve">  Юридические лица составляют отчет без включения данных по входящим в их состав обособленным подразделениям, которые самостоятельно представляют отчет органам государственной статистики.
  Отчет юридического лица, обособленного подразделения юридического лица (далее – организация) должен включать данные по входящим в его структуру подразделениям.
  Представление отчета в виде электронного документа осуществляется с использованием специализированного программного обеспечения, которое размещается вместе с необходимыми инструктивными материалами по его развертыванию и использованию на официальном сайте Национального статистического комитета в глобальной компьютерной сети Интернет http://www.belstat.gov.by.</t>
        </r>
      </text>
    </comment>
    <comment ref="AR47" authorId="0">
      <text>
        <r>
          <rPr>
            <sz val="10.5"/>
            <rFont val="Times New Roman"/>
            <charset val="204"/>
          </rPr>
          <t xml:space="preserve">  К просроченной (дебиторской, кредиторской) задолженности, просроченной задолженности по кредитам и займам относится задолженность, не погашенная в сроки, установленные договорами или законодательством. В случаях когда в договорах не указаны конкретные сроки расчетов, в просроченную задолженность включается задолженность, не погашенная в течение 60 дней (с даты отражения задолженности в бухгалтерском учете) по внутриреспубликанским расчетам и 90 дней - по внешним расчетам.
  </t>
        </r>
        <r>
          <rPr>
            <b/>
            <i/>
            <sz val="10.5"/>
            <color indexed="18"/>
            <rFont val="Times New Roman"/>
            <charset val="204"/>
          </rPr>
          <t>Например</t>
        </r>
        <r>
          <rPr>
            <sz val="10.5"/>
            <rFont val="Times New Roman"/>
            <charset val="204"/>
          </rPr>
          <t>, в договоре поставки указан срок оплаты «в течение десяти дней после отгрузки продукции». Покупателю 5 января 2014 г. отгружена продукция на сумму 30 тыс. руб., которая должна быть оплачена покупателем не позднее 15 января 2014 г. На указанную дату оплата не поступила. Начиная с 16 января 2014 г. задолженность покупателя на сумму 30 тыс. руб. относится к просроченной дебиторской задолженности. Если до 1 февраля 2014 г. оплата не произведена, то в отчете по состоянию на 1 февраля 2014 г. должна быть отражена просроченная дебиторская задолженность на сумму 30 тыс. руб.
  Задолженность по пени, штрафным санкциям и госпошлине не является просроченной, если по их уплате нормативными правовыми актами не установлены сроки ее уплаты.</t>
        </r>
      </text>
    </comment>
    <comment ref="AH48" authorId="0">
      <text>
        <r>
          <rPr>
            <sz val="10.5"/>
            <rFont val="Times New Roman"/>
            <charset val="204"/>
          </rPr>
          <t xml:space="preserve">  Данные по счетам бухгалтерского учета, отражающим расчеты с другими лицами (счета 09 «Отложенные налоговые активы», 60 «Расчеты с поставщиками и подрядчиками» (далее – счет 60), 62 «Расчеты с покупателями и заказчиками» (далее – счет 62), 65 «Отложенные налоговые обязательства», 68 «Расчеты по налогам и сборам» (далее – счет 68), 69 «Расчеты по социальному страхованию и обеспечению» (далее – счет 69), 70 «Расчеты с персоналом по оплате труда» (далее – счет 70), 71 «Расчеты с подотчетными лицами», 73 «Расчеты с персоналом по прочим операциям», 75 «Расчеты с учредителями» (далее – счет 75), 76 «Расчеты с разными дебиторами и кредиторами»), приводятся в отчете в развернутом виде: остатки по счетам аналитического учета, по которым имеется дебетовый остаток, включаются в дебиторскую задолженность, по которым имеется кредитовый остаток, – в кредиторскую задолженность.
  Если с одним и тем же покупателем (поставщиком) заключено несколько договоров, то задолженность рассчитывается по каждому договору отдельно и, соответственно, включается в дебиторскую или кредиторскую задолженность.
  Организации, подчиненные Министерству связи и информатизации, денежные средства, учитываемые на счете бухгалтерского учета 64 «Расчеты организаций связи с клиентами по переводным операциям», отражают по строкам 101 и (или) 104 раздела I «Состояние расчетов» (далее – раздел I).
  Организации, подчиненные (входящие в состав) Белорусскому государственному концерну по нефти и химии, суммы предварительной оплаты за тепловую и электрическую энергию, учитываемые на счете бухгалтерского учета 97 «Расходы будущих периодов» (далее - счет 97), отражают по строкам 101-103 раздела I.
  В случае учета задолженности за многооборотную (возвратную) тару на счетах учета расчетов, сумма такой задолженности включается в общую сумму задолженности и отражается соответственно по строкам 101, 102 или 104, 105 раздела I и не относится к просроченной задолженности.</t>
        </r>
      </text>
    </comment>
    <comment ref="AH49" authorId="0">
      <text>
        <r>
          <rPr>
            <sz val="10.5"/>
            <rFont val="Times New Roman"/>
            <charset val="204"/>
          </rPr>
          <t xml:space="preserve">  По строке 102 раздела I отражается сумма задолженности покупателей за отгруженные товары, выполненные работы и оказанные услуги, в том числе обеспеченная полученными векселями (задолженность, числящаяся по счету 62 в отпускных (договорных) ценах), а также сумма задолженности по авансам выданным, учитываемая на счете 60.
  Аккредитивы, учитываемые на счете 60, по строке 102 не отражаются.</t>
        </r>
      </text>
    </comment>
    <comment ref="AH50" authorId="0">
      <text>
        <r>
          <rPr>
            <sz val="10.5"/>
            <rFont val="Times New Roman"/>
            <charset val="204"/>
          </rPr>
          <t xml:space="preserve">  По строке 103 раздела I отражается общая сумма задолженности покупателей за топливно-энергетические ресурсы, включая авансы выданные, по строке 106 раздела I - общая сумма задолженности поставщикам за топливно-энергетические ресурсы, включая авансы полученные. Данные по строкам 103 и 106 раздела I отражаются независимо от того, являются топливно-энергетические ресурсы товаром или сырьем для организации.
  При этом, согласно постановлению Министерства экономики Республики Беларусь от 25 февраля 2000 г. № 30 «Об утверждении перечня материальных ресурсов, относящихся к топливно-энергетическим» к топливно-энергетическим ресурсам относятся котельно-печное топливо, топливо для использования в двигателях внутреннего сгорания (ДВС) и энергия.
  Котельно-печное топливо: газ природный, газ попутный (нефтяной), газ нефтепереработки, газ сжиженный, мазут топочный, топливо печное бытовое, уголь (каменный и бурый), угольные брикеты, кокс металлургический, торф топливный (фрезерный и кусковой), топливные брикеты, сланцы, дрова, отходы деревообработки и лесозаготовки.
  Топливо для использования в двигателях внутреннего сгорания (ДВС): дизельное топливо, реактивное топливо, бензины моторные, керосин.
  Энергия: электрическая и тепловая.
  Кроме того, для целей данного государственного статистического наблюдения к топливно-энергетическим ресурсам относятся нефть и кокс нефтяной.
  Сумма дебиторской задолженности, по которой в установленном порядке созданы резервы по сомнительным долгам (строки 101-103 раздела I), уменьшается на сумму этих резервов.</t>
        </r>
      </text>
    </comment>
    <comment ref="AH52" authorId="0">
      <text>
        <r>
          <rPr>
            <sz val="10.5"/>
            <rFont val="Times New Roman"/>
            <charset val="204"/>
          </rPr>
          <t>По строке 105 раздела I отражается сумма задолженности поставщикам и подрядчикам за поступившие материальные и другие ценности, выполненные работы и оказанные услуги, в том числе по векселям выданным (кредитовый остаток по счету 60) и сумма задолженности по авансам полученным, учитываемая на счете 62.</t>
        </r>
      </text>
    </comment>
    <comment ref="AH54" authorId="0">
      <text>
        <r>
          <rPr>
            <sz val="10.5"/>
            <rFont val="Times New Roman"/>
            <charset val="204"/>
          </rPr>
          <t xml:space="preserve">  По строке 107 раздела I отражается сумма кредитового остатка по счету 68, включая подоходный налог с физических лиц.
  Если организация является плательщиком части прибыли (дохода) в бюджет, то кредитовый остаток субсчета «Сумма части прибыли (дохода)» счета 75 отражается по строке 107 раздела I.
  Если организация начисляет учредителям доход (дивиденды), который подлежит перечислению в бюджет, то кредитовый остаток счета 75 в части этого начисленного дохода (дивидендов) отражается по строке 107 раздела I.</t>
        </r>
      </text>
    </comment>
    <comment ref="AH55" authorId="0">
      <text>
        <r>
          <rPr>
            <sz val="10.5"/>
            <rFont val="Times New Roman"/>
            <charset val="204"/>
          </rPr>
          <t>По строке 108 раздела I отражается сумма кредитового остатка счета 69.</t>
        </r>
      </text>
    </comment>
    <comment ref="AH56" authorId="0">
      <text>
        <r>
          <rPr>
            <sz val="10.5"/>
            <rFont val="Times New Roman"/>
            <charset val="204"/>
          </rPr>
          <t>По строке 109 раздела I отражается сумма задолженности персоналу как состоящему, так и не состоящему в списочном составе, по оплате труда (по всем видам заработной платы, премиям, пособиям и другим выплатам), а также по выплате доходов по акциям и другим ценным бумагам (кредитовый остаток по счету 70).</t>
        </r>
      </text>
    </comment>
    <comment ref="AH57" authorId="0">
      <text>
        <r>
          <rPr>
            <sz val="10.5"/>
            <rFont val="Times New Roman"/>
            <charset val="204"/>
          </rPr>
          <t>По строке 110 раздела I отражаются данные кредитовых остатков счетов бухгалтерского учета 66 «Расчеты по краткосрочным кредитам и займам» (далее - счет 66) и 67 «Расчеты по долгосрочным кредитам и займам» (далее - счет 67).</t>
        </r>
      </text>
    </comment>
    <comment ref="AH58" authorId="0">
      <text>
        <r>
          <rPr>
            <sz val="10.5"/>
            <rFont val="Times New Roman"/>
            <charset val="204"/>
          </rPr>
          <t>По строке 111 раздела I отражается сумма задолженности по краткосрочным и долгосрочным кредитам, а также проценты по ним по данным аналитического учета к счетам 66 и 67.</t>
        </r>
      </text>
    </comment>
    <comment ref="AH59" authorId="0">
      <text>
        <r>
          <rPr>
            <sz val="10.5"/>
            <rFont val="Times New Roman"/>
            <charset val="204"/>
          </rPr>
          <t>По строке 113 раздела I отражается сумма задолженности по краткосрочным и долгосрочным займам, а также проценты по ним по данным аналитического учета к счетам 66 и 67.</t>
        </r>
      </text>
    </comment>
    <comment ref="AH61" authorId="0">
      <text>
        <r>
          <rPr>
            <sz val="10.5"/>
            <rFont val="Times New Roman"/>
            <charset val="204"/>
          </rPr>
          <t xml:space="preserve">  По строке 117 раздела I отражается сумма задолженности 
по кредитам и займам субъектам хозяйствования Российской Федерации по данным аналитического учета к счетам 66 и 67.
  По данной строке также отражается сумма задолженности по займам гражданам Российской Федерации, которые являются учредителями (участниками) юридического лица.</t>
        </r>
      </text>
    </comment>
    <comment ref="AH63" authorId="0">
      <text>
        <r>
          <rPr>
            <sz val="10.5"/>
            <rFont val="Times New Roman"/>
            <charset val="204"/>
          </rPr>
          <t>По строкам 130 и 131 раздела I отражается дебиторская задолженность, по которой в соответствии с законодательством созданы резервы по сомнительным долгам и резервы под обесценение авансов.</t>
        </r>
      </text>
    </comment>
    <comment ref="W66" authorId="0">
      <text>
        <r>
          <rPr>
            <sz val="10.5"/>
            <rFont val="Times New Roman"/>
            <charset val="204"/>
          </rPr>
          <t>В разделе II «Состояние расчетов внутри республики и с другими странами» (далее - раздел II) и разделе III «Кредиторская задолженность за топливно-энергетические ресурсы» (далее - раздел III) данные раздела I расшифровываются по странам. При этом по строкам 202 раздела II и 302 раздела III отражается состояние расчетов с организациями-резидентами Республики Беларусь.</t>
        </r>
      </text>
    </comment>
    <comment ref="AO72" authorId="0">
      <text>
        <r>
          <rPr>
            <sz val="10.5"/>
            <rFont val="Times New Roman"/>
            <charset val="204"/>
          </rPr>
          <t xml:space="preserve">  В графе 7 раздела II отражается сумма задолженности по выданным (перечисленным) денежным средствам в виде авансов (задатков, предоплаты) поставщикам и подрядчикам, исполнителям за приобретаемое имущество, либо выполнение работ, оказание услуг, учитываемая на счете 60.
  Организации, подчиненные (входящие в состав) Белорусскому государственному концерну по нефти и химии, в графе 7 раздела II также отражают суммы предварительной оплаты за тепловую и электрическую энергию, учитываемые на счете 97.</t>
        </r>
      </text>
    </comment>
    <comment ref="AT72" authorId="0">
      <text>
        <r>
          <rPr>
            <sz val="10.5"/>
            <rFont val="Times New Roman"/>
            <charset val="204"/>
          </rPr>
          <t>В графе 8 раздела II отражается сумма задолженности по полученным денежным средствам в виде авансов (задатков, предоплаты) от покупателей и заказчиков под поставку материальных ценностей либо под выполнение работ, оказание услуг, учитываемая на счете 62.</t>
        </r>
      </text>
    </comment>
    <comment ref="K85" authorId="0">
      <text>
        <r>
          <rPr>
            <sz val="10.5"/>
            <rFont val="Times New Roman"/>
            <charset val="204"/>
          </rPr>
          <t>По строке 218 раздела II отражаются данные о состоянии расчетов со странами Европейского Союза: Австрийская Республика, Королевство Бельгии, Федеративная Республика Германия, Греческая Республика, Королевство Дания, Ирландия, Королевство Испания, Итальянская Республика, Великое Герцогство Люксембург, Королевство Нидерландов, Португальская Республика, Финляндская Республика, Французская Республика, Королевство Швеция, Венгрия, Республика Кипр, Республика Мальта, Республика Польша, Республика Словения, Словацкая Республика, Чешская Республика, Республика Болгария, Румыния, Республика Хорватия, Латвийская Республика, Литовская Республика и Эстонская Республика. В дальнейшем, при вступлении в (выходе из) Европейский Союз других стран, расчеты с ними необходимо отражать по данной строке.</t>
        </r>
      </text>
    </comment>
    <comment ref="K86" authorId="0">
      <text>
        <r>
          <rPr>
            <sz val="10.5"/>
            <rFont val="Times New Roman"/>
            <charset val="204"/>
          </rPr>
          <t>По строке 218 раздела II отражаются данные о состоянии расчетов со странами Европейского Союза: Австрийская Республика, Королевство Бельгии, Федеративная Республика Германия, Греческая Республика, Королевство Дания, Ирландия, Королевство Испания, Итальянская Республика, Великое Герцогство Люксембург, Королевство Нидерландов, Португальская Республика, Финляндская Республика, Французская Республика, Королевство Швеция, Венгрия, Республика Кипр, Республика Мальта, Республика Польша, Республика Словения, Словацкая Республика, Чешская Республика, Республика Болгария, Румыния, Республика Хорватия, Латвийская Республика, Литовская Республика и Эстонская Республика. В дальнейшем, при вступлении в (выходе из) Европейский Союз других стран, расчеты с ними необходимо отражать по данной строке.</t>
        </r>
      </text>
    </comment>
    <comment ref="X90" authorId="0">
      <text>
        <r>
          <rPr>
            <sz val="10.5"/>
            <rFont val="Times New Roman"/>
            <charset val="204"/>
          </rPr>
          <t>В разделе III «Кредиторская задолженность за топливно-энергетические ресурсы» (далее - раздел III) данные раздела I расшифровываются по странам. При этом по строкам 302 раздела III отражается состояние расчетов с организациями - резидентами Республики Беларусь.</t>
        </r>
      </text>
    </comment>
    <comment ref="AC97" authorId="0">
      <text>
        <r>
          <rPr>
            <sz val="10.5"/>
            <rFont val="Times New Roman"/>
            <charset val="204"/>
          </rPr>
          <t>В графах 5 и 6 раздела III отражается сумма задолженности только за нефть и не отражается сумма задолженности за нефтепродукты, которая входит в общую сумму задолженности за топливно-энергетические ресурсы.</t>
        </r>
      </text>
    </comment>
    <comment ref="AT97" authorId="0">
      <text>
        <r>
          <rPr>
            <sz val="10.5"/>
            <rFont val="Times New Roman"/>
            <charset val="204"/>
          </rPr>
          <t>В графе 9 раздела III отражается сумма задолженности по полученным денежным средствам в виде авансов (задатков, предоплаты) от покупателей и заказчиков под поставку топливно-энергетических ресурсов, учитываемая на счете 62.</t>
        </r>
      </text>
    </comment>
  </commentList>
</comments>
</file>

<file path=xl/sharedStrings.xml><?xml version="1.0" encoding="utf-8"?>
<sst xmlns="http://schemas.openxmlformats.org/spreadsheetml/2006/main" count="192" uniqueCount="151">
  <si>
    <t>Подготовлено редакцией Правовой платформы «Бизнес-Инфо» (ООО «Профессиональные правовые системы»)</t>
  </si>
  <si>
    <t>УТВЕРЖДЕНО 
Постановление Национального 
статистического комитета
Республики Беларусь
15.01.2014 № 9</t>
  </si>
  <si>
    <t>Отчет с изменениями
и дополнениями, внесенными постановлениями Национального статистического комитета Республики Беларусь 
от 09.10.2014 № 178, 
от 27.11.2014 № 208,
от 18.03.2016 № 11,
от 28.04.2016 № 25,
от 03.08.2017 № 104,
от 19.07.2019 № 69,
от 24.07.2020 № 64,
от 23.07.2021 № 49,
от 12.08.2022 № 65,
от 11.08.2023 № 89,
от 29.03.2024 № 15.</t>
  </si>
  <si>
    <t>ГОСУДАРСТВЕННАЯ СТАТИСТИЧЕСКАЯ ОТЧЕТНОСТЬ</t>
  </si>
  <si>
    <t>КОНФИДЕНЦИАЛЬНОСТЬ ГАРАНТИРУЕТСЯ ПОЛУЧАТЕЛЕМ ИНФОРМАЦИИ</t>
  </si>
  <si>
    <t>Представление искаженных данных государственной статистической отчетности, несвоевременное представление или непредставление 
такой отчетности влекут применение мер административной или уголовной ответственности в соответствии с законодательными актами</t>
  </si>
  <si>
    <t>ОТЧЕТ</t>
  </si>
  <si>
    <t xml:space="preserve">  о состоянии расчетов</t>
  </si>
  <si>
    <t>по состоянию на 1</t>
  </si>
  <si>
    <t>января</t>
  </si>
  <si>
    <t>года</t>
  </si>
  <si>
    <t>(месяц)</t>
  </si>
  <si>
    <t>Представляют респонденты</t>
  </si>
  <si>
    <t>Срок представления</t>
  </si>
  <si>
    <t>Форма 12-ф (расчеты)</t>
  </si>
  <si>
    <t>юридические лица, обособленные подразделения юридических лиц в соответствии с Указаниями 
по заполнению настоящей формы
    в виде электронного документа 
        Главному статистическому управлению города Минска; 
        отделу статистики в районе (городе) главного статистического управления области*</t>
  </si>
  <si>
    <t>26-го числа после 
отчетной даты</t>
  </si>
  <si>
    <t>Код формы 
по ОКУД</t>
  </si>
  <si>
    <t>0631002</t>
  </si>
  <si>
    <t>Месячная</t>
  </si>
  <si>
    <t xml:space="preserve">Полное наименование юридического лица </t>
  </si>
  <si>
    <t>Открытое  акционерное общество   " Гомельский  завод станков и узлов"</t>
  </si>
  <si>
    <t xml:space="preserve">Полное наименование обособленного подразделения юридического лица </t>
  </si>
  <si>
    <t xml:space="preserve">Почтовый адрес (фактический) </t>
  </si>
  <si>
    <t>г. Гомель  ул.  8 Иногородняя, 1</t>
  </si>
  <si>
    <t>Электронный адрес (www, e-mail)</t>
  </si>
  <si>
    <t xml:space="preserve">mail@qzsu.by </t>
  </si>
  <si>
    <t xml:space="preserve">Регистрационный номер респондента 
в статистическом регистре (ОКПО)  </t>
  </si>
  <si>
    <t>Учетный номер 
плательщика (УНП)</t>
  </si>
  <si>
    <t>002224793000</t>
  </si>
  <si>
    <t xml:space="preserve">  * При отсутствии по месту нахождения респондента отдела статистики в районе (городе) государственная статистическая отчетность представляется в главное статистическое управление области.</t>
  </si>
  <si>
    <t>РАЗДЕЛ I</t>
  </si>
  <si>
    <t>СОСТОЯНИЕ РАСЧЕТОВ</t>
  </si>
  <si>
    <t>Таблица 1</t>
  </si>
  <si>
    <t>тысяч рублей, в целых числах</t>
  </si>
  <si>
    <t>Наименование показателя</t>
  </si>
  <si>
    <t>Код строки</t>
  </si>
  <si>
    <t>Всего</t>
  </si>
  <si>
    <t>Из нее просроченная</t>
  </si>
  <si>
    <t>А</t>
  </si>
  <si>
    <t>Б</t>
  </si>
  <si>
    <t>Дебиторская задолженность - всего (счета 09 , 60, 62, 68-71, 73, 75, 76)</t>
  </si>
  <si>
    <t xml:space="preserve">    из нее задолженность покупателей за товары, работы, услуги (в отпускных ценах) (счета  60, 62)</t>
  </si>
  <si>
    <t xml:space="preserve">        из нее за топливно-энергетические ресурсы</t>
  </si>
  <si>
    <t>Кредиторская задолженность - всего (счета 60, 62, 65, 68-71, 73, 75, 76)</t>
  </si>
  <si>
    <t xml:space="preserve">          из нее задолженность:
    поставщикам за товары, работы, услуги,  по авансам полученным (счета 60, 62)</t>
  </si>
  <si>
    <t xml:space="preserve">    по налогам и сборам (счет 68)</t>
  </si>
  <si>
    <t xml:space="preserve">    по социальному страхованию и обеспечению (счет 69)</t>
  </si>
  <si>
    <t xml:space="preserve">    по оплате труда (счет 70)</t>
  </si>
  <si>
    <t>Задолженность по кредитам и займам (счета 66, 67)</t>
  </si>
  <si>
    <t xml:space="preserve">          из нее задолженность:
    по кредитам</t>
  </si>
  <si>
    <t>    по займам</t>
  </si>
  <si>
    <t>Денежные средства (счета 50, 51, 52, 55, 57)</t>
  </si>
  <si>
    <t>X</t>
  </si>
  <si>
    <t>Из строки 110 - задолженность по кредитам и займам субъектам хозяйствования и гражданам
Российской Федерации</t>
  </si>
  <si>
    <t>Из строки 101 – внешняя дебиторская задолженность, взыскание которой является предметом судебного разбирательства или находится на стадии исполнительного производства</t>
  </si>
  <si>
    <t>Дебиторская задолженность, по которой создан резерв по сомнительным долгам</t>
  </si>
  <si>
    <t xml:space="preserve">    из нее по договорам с нерезидентами Республики Беларусь</t>
  </si>
  <si>
    <t>РАЗДЕЛ II</t>
  </si>
  <si>
    <t>СОСТОЯНИЕ РАСЧЕТОВ ВНУТРИ РЕСПУБЛИКИ И С ДРУГИМИ СТРАНАМИ</t>
  </si>
  <si>
    <t>Таблица 2</t>
  </si>
  <si>
    <t>Код 
строки</t>
  </si>
  <si>
    <t>Дебиторская задолженность</t>
  </si>
  <si>
    <t>Кредиторская задолженность</t>
  </si>
  <si>
    <t>Просроченная задолженность</t>
  </si>
  <si>
    <t>Из графы 2 - задолжен-
ность по авансам выданным</t>
  </si>
  <si>
    <t>Из графы 4 - задолженность по авансам полученным</t>
  </si>
  <si>
    <t>всего</t>
  </si>
  <si>
    <t>из нее за товары, работы, услуги</t>
  </si>
  <si>
    <t>деби-
торская</t>
  </si>
  <si>
    <t>креди-
торская</t>
  </si>
  <si>
    <t>Всего 
(сумма строк с 202 по 217)</t>
  </si>
  <si>
    <t>       в том числе:
  Беларусь</t>
  </si>
  <si>
    <t>  Азербайджан</t>
  </si>
  <si>
    <t>  Армения</t>
  </si>
  <si>
    <t>  Казахстан</t>
  </si>
  <si>
    <t>  Кыргызстан</t>
  </si>
  <si>
    <t>  Молдова,  Республика</t>
  </si>
  <si>
    <t>  Российская Федерация</t>
  </si>
  <si>
    <t>  Таджикистан</t>
  </si>
  <si>
    <t>  Туркменистан</t>
  </si>
  <si>
    <t>  Узбекистан</t>
  </si>
  <si>
    <t>  Украина</t>
  </si>
  <si>
    <t>  другие страны</t>
  </si>
  <si>
    <t>    из них: 
    страны Европейского 
    Союза</t>
  </si>
  <si>
    <t xml:space="preserve">    Венесуэла, Болива-
    рианская Республика</t>
  </si>
  <si>
    <t xml:space="preserve">    Китай</t>
  </si>
  <si>
    <t>РАЗДЕЛ III</t>
  </si>
  <si>
    <t>КРЕДИТОРСКАЯ ЗАДОЛЖЕННОСТЬ ЗА ТОПЛИВНО-ЭНЕРГЕТИЧЕСКИЕ РЕСУРСЫ</t>
  </si>
  <si>
    <t>Таблица 3</t>
  </si>
  <si>
    <t>Наименование 
показателя</t>
  </si>
  <si>
    <t>Кредиторская задолженность за топливно-энергетические ресурсы</t>
  </si>
  <si>
    <t>Из нее</t>
  </si>
  <si>
    <t>Из графы 1 - задолженность по авансам полученным</t>
  </si>
  <si>
    <t>за природный газ</t>
  </si>
  <si>
    <t>за нефть</t>
  </si>
  <si>
    <t>за электрическую 
энергию</t>
  </si>
  <si>
    <t>из нее просро-ченная</t>
  </si>
  <si>
    <t>из нее 
просро-
ченная</t>
  </si>
  <si>
    <t>Всего (сумма 
строк с 302 по 304)</t>
  </si>
  <si>
    <t xml:space="preserve">     в том  числе:
  Беларусь</t>
  </si>
  <si>
    <t>Руководитель респондента</t>
  </si>
  <si>
    <t>директор</t>
  </si>
  <si>
    <t>А.А.Кафанов</t>
  </si>
  <si>
    <t>(должность)</t>
  </si>
  <si>
    <t>(подпись)</t>
  </si>
  <si>
    <t>(инициалы, фамилия)</t>
  </si>
  <si>
    <t>Лицо, ответственное за составление
и представление первичных статистических данных</t>
  </si>
  <si>
    <t>бухгалтер</t>
  </si>
  <si>
    <t>Буйневич   Н. П.</t>
  </si>
  <si>
    <t>27-26-39</t>
  </si>
  <si>
    <t>(контактный номер телефона, 
адрес электронной почты)</t>
  </si>
  <si>
    <t>(дата составления государственной 
статистической отчетности)</t>
  </si>
  <si>
    <t>Данные в графе 1 должны быть больше или равны данным в графе 2 по всем строкам.</t>
  </si>
  <si>
    <t>Данные по строке 101 должны быть больше или равны данным по строке 102 во всех графах.</t>
  </si>
  <si>
    <t>Графа 1</t>
  </si>
  <si>
    <t>Графа 2</t>
  </si>
  <si>
    <t>Данные по строке 102 должны быть больше или равны данным по строке 103 во всех графах.</t>
  </si>
  <si>
    <t>Данные по строке 104 должны быть больше или равны сумме данных по строкам 105, 107, 108, 109 во всех графах.</t>
  </si>
  <si>
    <t>Данные по строке 105 должны быть больше или равны данным по строке 106 во всех графах.</t>
  </si>
  <si>
    <t>Данные по строке 110 должны быть больше или равны сумме данных по строкам 111 и 113 во всех графах.</t>
  </si>
  <si>
    <t>Данные по строке 110 должны быть больше или равны данным по строке 117 во всех графах.</t>
  </si>
  <si>
    <t>Данные по строке 126 должны быть меньше или равны данным по строке 101 во всех графах.</t>
  </si>
  <si>
    <t>Данные в графе 1 должны быть больше или равны данным в графе 5 по всем строкам.</t>
  </si>
  <si>
    <t>Данные в графе 2 должны быть больше или равны данным в графе 7 по всем строкам.</t>
  </si>
  <si>
    <t>Данные в графе 3 должны быть больше или равны данным в графе 4 по всем строкам.</t>
  </si>
  <si>
    <t>Данные в графе 3 должны быть больше или равны данным в графе 6 по всем строкам.</t>
  </si>
  <si>
    <t>Данные в графе 4 должны быть больше или равны данным в графе 8 по всем строкам.</t>
  </si>
  <si>
    <t>Данные по строке 217 должны быть больше или равны сумме данных по строкам 218, 220, 221 во всех графах.</t>
  </si>
  <si>
    <t>Графа 3</t>
  </si>
  <si>
    <t>Графа 4</t>
  </si>
  <si>
    <t>Графа 5</t>
  </si>
  <si>
    <t>Графа 6</t>
  </si>
  <si>
    <t>Графа 7</t>
  </si>
  <si>
    <t>Графа 8</t>
  </si>
  <si>
    <t>Данные в графе 1 должны быть больше или равны сумме данных в графах 3, 5, 7 по всем строкам.</t>
  </si>
  <si>
    <t>Данные в графе 1 должны быть больше или равны данным в графе 9 по всем строкам.</t>
  </si>
  <si>
    <t>Данные в графе 2 должны быть больше или равны сумме данных в графах 4, 6, 8 по всем строкам.</t>
  </si>
  <si>
    <t>РАЗДЕЛ I, II, III</t>
  </si>
  <si>
    <t>Данные по строке 201 в графе 1 раздела II должны быть равны данным по строке 101 в графе 1 раздела I.</t>
  </si>
  <si>
    <t>Данные по строке 201 в графе 2 раздела II должны быть равны данным по строке 102 в графе 1 раздела I.</t>
  </si>
  <si>
    <t>Данные по строке 201 в графе 3 раздела II должны быть равны данным по строке 104 в графе 1 раздела I.</t>
  </si>
  <si>
    <t>Данные по строке 201 в графе 4 раздела II должны быть равны данным по строке 105 в графе 1 раздела I.</t>
  </si>
  <si>
    <t>Данные по строке 201 в графе 5 раздела II должны быть равны данным по строке 101 в графе 2 раздела I.</t>
  </si>
  <si>
    <t>Данные по строке 201 в графе 6 раздела II должны быть равны данным по строке 104 в графе 2 раздела I.</t>
  </si>
  <si>
    <t>Данные по строке 301 в графе 1 раздела III должны быть равны данным по строке 106 в графе 1 раздела I.</t>
  </si>
  <si>
    <t>Данные по строке 301 в графе 2 раздела III должны быть равны данным по строке 106 в графе 2 раздела I.</t>
  </si>
  <si>
    <t>Данные по строке 301 в графе 9 раздела III должны быть меньше или равны данным по строке 201 в графе 8 раздела II.</t>
  </si>
  <si>
    <t>Данные по строке 302 в графе 9 раздела III должны быть меньше или равны данным по строке 202 в графе 8 раздела II.</t>
  </si>
  <si>
    <t>Данные по строке 303 в графе 9 раздела III должны быть меньше или равны данным по строке 209 в графе 8 раздела II.</t>
  </si>
  <si>
    <t>Данные по строке 304 в графе 9 раздела III должны быть меньше или равны сумме данных по строкам 203-208 
и 210-217 в графе 8 раздела II.</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</si>
</sst>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176" formatCode="_-* #\.##0.00_-;\-* #\.##0.00_-;_-* &quot;-&quot;??_-;_-@_-"/>
    <numFmt numFmtId="177" formatCode="_-* #\.##0.00\ &quot;₽&quot;_-;\-* #\.##0.00\ &quot;₽&quot;_-;_-* \-??\ &quot;₽&quot;_-;_-@_-"/>
    <numFmt numFmtId="178" formatCode="_-* #\.##0_-;\-* #\.##0_-;_-* &quot;-&quot;_-;_-@_-"/>
    <numFmt numFmtId="179" formatCode="_-* #\.##0\ &quot;₽&quot;_-;\-* #\.##0\ &quot;₽&quot;_-;_-* \-\ &quot;₽&quot;_-;_-@_-"/>
    <numFmt numFmtId="180" formatCode="_(#\ ##0_);_(\-#\ ##0_);_(&quot;-&quot;??_);_(@_)"/>
    <numFmt numFmtId="181" formatCode="[$-F800]dddd\,\ mmmm\ dd\,\ yyyy"/>
    <numFmt numFmtId="182" formatCode="0.0"/>
  </numFmts>
  <fonts count="39">
    <font>
      <sz val="10"/>
      <name val="Arial"/>
      <charset val="134"/>
    </font>
    <font>
      <sz val="1"/>
      <name val="Times New Roman"/>
      <charset val="204"/>
    </font>
    <font>
      <sz val="10.5"/>
      <name val="Times New Roman"/>
      <charset val="204"/>
    </font>
    <font>
      <b/>
      <sz val="10.5"/>
      <color indexed="18"/>
      <name val="Times New Roman"/>
      <charset val="204"/>
    </font>
    <font>
      <b/>
      <i/>
      <sz val="10.5"/>
      <color rgb="FFFF0000"/>
      <name val="Times New Roman"/>
      <charset val="204"/>
    </font>
    <font>
      <b/>
      <i/>
      <sz val="1"/>
      <color indexed="53"/>
      <name val="Times New Roman"/>
      <charset val="204"/>
    </font>
    <font>
      <b/>
      <i/>
      <sz val="10.5"/>
      <color indexed="10"/>
      <name val="Times New Roman"/>
      <charset val="204"/>
    </font>
    <font>
      <b/>
      <i/>
      <sz val="1"/>
      <color indexed="10"/>
      <name val="Times New Roman"/>
      <charset val="204"/>
    </font>
    <font>
      <sz val="12"/>
      <name val="Times New Roman"/>
      <charset val="204"/>
    </font>
    <font>
      <i/>
      <sz val="9"/>
      <name val="Times New Roman"/>
      <charset val="204"/>
    </font>
    <font>
      <i/>
      <sz val="10.5"/>
      <name val="Times New Roman"/>
      <charset val="204"/>
    </font>
    <font>
      <sz val="11"/>
      <name val="Times New Roman"/>
      <charset val="204"/>
    </font>
    <font>
      <sz val="9"/>
      <name val="Times New Roman"/>
      <charset val="204"/>
    </font>
    <font>
      <i/>
      <sz val="10"/>
      <name val="Times New Roman"/>
      <charset val="204"/>
    </font>
    <font>
      <b/>
      <sz val="10.5"/>
      <name val="Times New Roman"/>
      <charset val="204"/>
    </font>
    <font>
      <sz val="10.5"/>
      <color indexed="18"/>
      <name val="Times New Roman"/>
      <charset val="204"/>
    </font>
    <font>
      <u/>
      <sz val="10"/>
      <color theme="10"/>
      <name val="Arial"/>
      <charset val="134"/>
    </font>
    <font>
      <b/>
      <i/>
      <sz val="10"/>
      <color indexed="10"/>
      <name val="Times New Roman"/>
      <charset val="204"/>
    </font>
    <font>
      <sz val="12"/>
      <name val="Arial"/>
      <charset val="204"/>
    </font>
    <font>
      <sz val="11"/>
      <color theme="1"/>
      <name val="Calibri"/>
      <charset val="134"/>
      <scheme val="minor"/>
    </font>
    <font>
      <u/>
      <sz val="11"/>
      <color rgb="FF80008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rgb="FFFA7D00"/>
      <name val="Calibri"/>
      <charset val="0"/>
      <scheme val="minor"/>
    </font>
    <font>
      <b/>
      <sz val="11"/>
      <color rgb="FFFFFFFF"/>
      <name val="Calibri"/>
      <charset val="0"/>
      <scheme val="minor"/>
    </font>
    <font>
      <sz val="11"/>
      <color rgb="FFFA7D00"/>
      <name val="Calibri"/>
      <charset val="0"/>
      <scheme val="minor"/>
    </font>
    <font>
      <b/>
      <sz val="11"/>
      <color theme="1"/>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theme="0"/>
      <name val="Calibri"/>
      <charset val="0"/>
      <scheme val="minor"/>
    </font>
    <font>
      <sz val="11"/>
      <color theme="1"/>
      <name val="Calibri"/>
      <charset val="0"/>
      <scheme val="minor"/>
    </font>
    <font>
      <b/>
      <i/>
      <sz val="10.5"/>
      <color indexed="18"/>
      <name val="Times New Roman"/>
      <charset val="204"/>
    </font>
  </fonts>
  <fills count="38">
    <fill>
      <patternFill patternType="none"/>
    </fill>
    <fill>
      <patternFill patternType="gray125"/>
    </fill>
    <fill>
      <patternFill patternType="solid">
        <fgColor indexed="9"/>
        <bgColor indexed="64"/>
      </patternFill>
    </fill>
    <fill>
      <patternFill patternType="solid">
        <fgColor indexed="42"/>
        <bgColor indexed="64"/>
      </patternFill>
    </fill>
    <fill>
      <patternFill patternType="solid">
        <fgColor theme="0"/>
        <bgColor indexed="64"/>
      </patternFill>
    </fill>
    <fill>
      <patternFill patternType="solid">
        <fgColor indexed="41"/>
        <bgColor indexed="64"/>
      </patternFill>
    </fill>
    <fill>
      <patternFill patternType="solid">
        <fgColor indexed="27"/>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style="thin">
        <color auto="1"/>
      </left>
      <right/>
      <top/>
      <bottom style="hair">
        <color auto="1"/>
      </bottom>
      <diagonal/>
    </border>
    <border>
      <left/>
      <right/>
      <top/>
      <bottom style="hair">
        <color auto="1"/>
      </bottom>
      <diagonal/>
    </border>
    <border>
      <left style="thin">
        <color auto="1"/>
      </left>
      <right/>
      <top style="hair">
        <color auto="1"/>
      </top>
      <bottom/>
      <diagonal/>
    </border>
    <border>
      <left/>
      <right/>
      <top style="hair">
        <color auto="1"/>
      </top>
      <bottom/>
      <diagonal/>
    </border>
    <border>
      <left style="thin">
        <color auto="1"/>
      </left>
      <right/>
      <top/>
      <bottom style="thin">
        <color auto="1"/>
      </bottom>
      <diagonal/>
    </border>
    <border>
      <left/>
      <right/>
      <top/>
      <bottom style="thin">
        <color auto="1"/>
      </bottom>
      <diagonal/>
    </border>
    <border>
      <left style="thin">
        <color auto="1"/>
      </left>
      <right style="thin">
        <color auto="1"/>
      </right>
      <top/>
      <bottom style="thin">
        <color auto="1"/>
      </bottom>
      <diagonal/>
    </border>
    <border>
      <left style="thin">
        <color auto="1"/>
      </left>
      <right/>
      <top/>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auto="1"/>
      </bottom>
      <diagonal/>
    </border>
    <border>
      <left/>
      <right style="thin">
        <color auto="1"/>
      </right>
      <top style="thin">
        <color auto="1"/>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diagonal/>
    </border>
    <border>
      <left/>
      <right style="thin">
        <color auto="1"/>
      </right>
      <top style="thin">
        <color auto="1"/>
      </top>
      <bottom style="hair">
        <color auto="1"/>
      </bottom>
      <diagonal/>
    </border>
    <border>
      <left/>
      <right style="thin">
        <color auto="1"/>
      </right>
      <top/>
      <bottom style="hair">
        <color auto="1"/>
      </bottom>
      <diagonal/>
    </border>
    <border>
      <left/>
      <right style="thin">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176" fontId="19" fillId="0" borderId="0" applyFont="0" applyFill="0" applyBorder="0" applyAlignment="0" applyProtection="0">
      <alignment vertical="center"/>
    </xf>
    <xf numFmtId="177" fontId="19" fillId="0" borderId="0" applyFont="0" applyFill="0" applyBorder="0" applyAlignment="0" applyProtection="0">
      <alignment vertical="center"/>
    </xf>
    <xf numFmtId="9" fontId="19" fillId="0" borderId="0" applyFont="0" applyFill="0" applyBorder="0" applyAlignment="0" applyProtection="0">
      <alignment vertical="center"/>
    </xf>
    <xf numFmtId="178" fontId="19" fillId="0" borderId="0" applyFont="0" applyFill="0" applyBorder="0" applyAlignment="0" applyProtection="0">
      <alignment vertical="center"/>
    </xf>
    <xf numFmtId="179" fontId="19" fillId="0" borderId="0" applyFont="0" applyFill="0" applyBorder="0" applyAlignment="0" applyProtection="0">
      <alignment vertical="center"/>
    </xf>
    <xf numFmtId="0" fontId="16" fillId="0" borderId="0" applyNumberFormat="0" applyFill="0" applyBorder="0" applyAlignment="0" applyProtection="0">
      <alignment vertical="top"/>
      <protection locked="0"/>
    </xf>
    <xf numFmtId="0" fontId="20" fillId="0" borderId="0" applyNumberFormat="0" applyFill="0" applyBorder="0" applyAlignment="0" applyProtection="0">
      <alignment vertical="center"/>
    </xf>
    <xf numFmtId="0" fontId="19" fillId="7" borderId="25"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26" applyNumberFormat="0" applyFill="0" applyAlignment="0" applyProtection="0">
      <alignment vertical="center"/>
    </xf>
    <xf numFmtId="0" fontId="25" fillId="0" borderId="26" applyNumberFormat="0" applyFill="0" applyAlignment="0" applyProtection="0">
      <alignment vertical="center"/>
    </xf>
    <xf numFmtId="0" fontId="26" fillId="0" borderId="27" applyNumberFormat="0" applyFill="0" applyAlignment="0" applyProtection="0">
      <alignment vertical="center"/>
    </xf>
    <xf numFmtId="0" fontId="26" fillId="0" borderId="0" applyNumberFormat="0" applyFill="0" applyBorder="0" applyAlignment="0" applyProtection="0">
      <alignment vertical="center"/>
    </xf>
    <xf numFmtId="0" fontId="27" fillId="8" borderId="28" applyNumberFormat="0" applyAlignment="0" applyProtection="0">
      <alignment vertical="center"/>
    </xf>
    <xf numFmtId="0" fontId="28" fillId="9" borderId="29" applyNumberFormat="0" applyAlignment="0" applyProtection="0">
      <alignment vertical="center"/>
    </xf>
    <xf numFmtId="0" fontId="29" fillId="9" borderId="28" applyNumberFormat="0" applyAlignment="0" applyProtection="0">
      <alignment vertical="center"/>
    </xf>
    <xf numFmtId="0" fontId="30" fillId="10" borderId="30" applyNumberFormat="0" applyAlignment="0" applyProtection="0">
      <alignment vertical="center"/>
    </xf>
    <xf numFmtId="0" fontId="31" fillId="0" borderId="31" applyNumberFormat="0" applyFill="0" applyAlignment="0" applyProtection="0">
      <alignment vertical="center"/>
    </xf>
    <xf numFmtId="0" fontId="32" fillId="0" borderId="32" applyNumberFormat="0" applyFill="0" applyAlignment="0" applyProtection="0">
      <alignment vertical="center"/>
    </xf>
    <xf numFmtId="0" fontId="33" fillId="11" borderId="0" applyNumberFormat="0" applyBorder="0" applyAlignment="0" applyProtection="0">
      <alignment vertical="center"/>
    </xf>
    <xf numFmtId="0" fontId="34" fillId="12" borderId="0" applyNumberFormat="0" applyBorder="0" applyAlignment="0" applyProtection="0">
      <alignment vertical="center"/>
    </xf>
    <xf numFmtId="0" fontId="35" fillId="13" borderId="0" applyNumberFormat="0" applyBorder="0" applyAlignment="0" applyProtection="0">
      <alignment vertical="center"/>
    </xf>
    <xf numFmtId="0" fontId="36" fillId="14" borderId="0" applyNumberFormat="0" applyBorder="0" applyAlignment="0" applyProtection="0">
      <alignment vertical="center"/>
    </xf>
    <xf numFmtId="0" fontId="37" fillId="15" borderId="0" applyNumberFormat="0" applyBorder="0" applyAlignment="0" applyProtection="0">
      <alignment vertical="center"/>
    </xf>
    <xf numFmtId="0" fontId="37" fillId="16" borderId="0" applyNumberFormat="0" applyBorder="0" applyAlignment="0" applyProtection="0">
      <alignment vertical="center"/>
    </xf>
    <xf numFmtId="0" fontId="36" fillId="17" borderId="0" applyNumberFormat="0" applyBorder="0" applyAlignment="0" applyProtection="0">
      <alignment vertical="center"/>
    </xf>
    <xf numFmtId="0" fontId="36" fillId="18" borderId="0" applyNumberFormat="0" applyBorder="0" applyAlignment="0" applyProtection="0">
      <alignment vertical="center"/>
    </xf>
    <xf numFmtId="0" fontId="37" fillId="19" borderId="0" applyNumberFormat="0" applyBorder="0" applyAlignment="0" applyProtection="0">
      <alignment vertical="center"/>
    </xf>
    <xf numFmtId="0" fontId="37" fillId="20" borderId="0" applyNumberFormat="0" applyBorder="0" applyAlignment="0" applyProtection="0">
      <alignment vertical="center"/>
    </xf>
    <xf numFmtId="0" fontId="36" fillId="21" borderId="0" applyNumberFormat="0" applyBorder="0" applyAlignment="0" applyProtection="0">
      <alignment vertical="center"/>
    </xf>
    <xf numFmtId="0" fontId="36" fillId="22" borderId="0" applyNumberFormat="0" applyBorder="0" applyAlignment="0" applyProtection="0">
      <alignment vertical="center"/>
    </xf>
    <xf numFmtId="0" fontId="37" fillId="23" borderId="0" applyNumberFormat="0" applyBorder="0" applyAlignment="0" applyProtection="0">
      <alignment vertical="center"/>
    </xf>
    <xf numFmtId="0" fontId="37" fillId="24" borderId="0" applyNumberFormat="0" applyBorder="0" applyAlignment="0" applyProtection="0">
      <alignment vertical="center"/>
    </xf>
    <xf numFmtId="0" fontId="36" fillId="25" borderId="0" applyNumberFormat="0" applyBorder="0" applyAlignment="0" applyProtection="0">
      <alignment vertical="center"/>
    </xf>
    <xf numFmtId="0" fontId="36" fillId="26" borderId="0" applyNumberFormat="0" applyBorder="0" applyAlignment="0" applyProtection="0">
      <alignment vertical="center"/>
    </xf>
    <xf numFmtId="0" fontId="37" fillId="27" borderId="0" applyNumberFormat="0" applyBorder="0" applyAlignment="0" applyProtection="0">
      <alignment vertical="center"/>
    </xf>
    <xf numFmtId="0" fontId="37" fillId="28" borderId="0" applyNumberFormat="0" applyBorder="0" applyAlignment="0" applyProtection="0">
      <alignment vertical="center"/>
    </xf>
    <xf numFmtId="0" fontId="36" fillId="29" borderId="0" applyNumberFormat="0" applyBorder="0" applyAlignment="0" applyProtection="0">
      <alignment vertical="center"/>
    </xf>
    <xf numFmtId="0" fontId="36" fillId="30" borderId="0" applyNumberFormat="0" applyBorder="0" applyAlignment="0" applyProtection="0">
      <alignment vertical="center"/>
    </xf>
    <xf numFmtId="0" fontId="37" fillId="31" borderId="0" applyNumberFormat="0" applyBorder="0" applyAlignment="0" applyProtection="0">
      <alignment vertical="center"/>
    </xf>
    <xf numFmtId="0" fontId="37" fillId="32" borderId="0" applyNumberFormat="0" applyBorder="0" applyAlignment="0" applyProtection="0">
      <alignment vertical="center"/>
    </xf>
    <xf numFmtId="0" fontId="36" fillId="33" borderId="0" applyNumberFormat="0" applyBorder="0" applyAlignment="0" applyProtection="0">
      <alignment vertical="center"/>
    </xf>
    <xf numFmtId="0" fontId="36" fillId="34" borderId="0" applyNumberFormat="0" applyBorder="0" applyAlignment="0" applyProtection="0">
      <alignment vertical="center"/>
    </xf>
    <xf numFmtId="0" fontId="37" fillId="35" borderId="0" applyNumberFormat="0" applyBorder="0" applyAlignment="0" applyProtection="0">
      <alignment vertical="center"/>
    </xf>
    <xf numFmtId="0" fontId="37" fillId="36" borderId="0" applyNumberFormat="0" applyBorder="0" applyAlignment="0" applyProtection="0">
      <alignment vertical="center"/>
    </xf>
    <xf numFmtId="0" fontId="36" fillId="37" borderId="0" applyNumberFormat="0" applyBorder="0" applyAlignment="0" applyProtection="0">
      <alignment vertical="center"/>
    </xf>
  </cellStyleXfs>
  <cellXfs count="230">
    <xf numFmtId="0" fontId="0" fillId="0" borderId="0" xfId="0"/>
    <xf numFmtId="0" fontId="1" fillId="0" borderId="0" xfId="0" applyFont="1" applyAlignment="1">
      <alignment horizontal="center" vertical="top" wrapText="1"/>
    </xf>
    <xf numFmtId="0" fontId="2" fillId="0" borderId="0" xfId="0" applyFont="1" applyAlignment="1">
      <alignment horizontal="center" vertical="top" wrapText="1"/>
    </xf>
    <xf numFmtId="0" fontId="1" fillId="2" borderId="0" xfId="0" applyFont="1" applyFill="1" applyAlignment="1">
      <alignment horizontal="center" vertical="top" wrapText="1"/>
    </xf>
    <xf numFmtId="0" fontId="2" fillId="2" borderId="0" xfId="0" applyFont="1" applyFill="1" applyAlignment="1">
      <alignment horizontal="center" vertical="top" wrapText="1"/>
    </xf>
    <xf numFmtId="0" fontId="3" fillId="2" borderId="0" xfId="0" applyFont="1" applyFill="1" applyAlignment="1">
      <alignment horizontal="center" vertical="top" wrapText="1"/>
    </xf>
    <xf numFmtId="0" fontId="2" fillId="2" borderId="0" xfId="0" applyFont="1" applyFill="1" applyAlignment="1">
      <alignment horizontal="left" vertical="top" wrapText="1"/>
    </xf>
    <xf numFmtId="0" fontId="1" fillId="2" borderId="0" xfId="0" applyFont="1" applyFill="1" applyAlignment="1">
      <alignment horizontal="left" vertical="top" wrapText="1"/>
    </xf>
    <xf numFmtId="0" fontId="2" fillId="3" borderId="1" xfId="0" applyFont="1" applyFill="1" applyBorder="1" applyAlignment="1">
      <alignment horizontal="center" vertical="top" wrapText="1"/>
    </xf>
    <xf numFmtId="0" fontId="4" fillId="2" borderId="1" xfId="0" applyFont="1" applyFill="1" applyBorder="1" applyAlignment="1">
      <alignment vertical="top" wrapText="1"/>
    </xf>
    <xf numFmtId="0" fontId="2" fillId="2" borderId="0" xfId="0" applyFont="1" applyFill="1" applyBorder="1" applyAlignment="1">
      <alignment vertical="top" wrapText="1"/>
    </xf>
    <xf numFmtId="0" fontId="2" fillId="4" borderId="0" xfId="0" applyFont="1" applyFill="1" applyAlignment="1">
      <alignment horizontal="center" vertical="top" wrapText="1"/>
    </xf>
    <xf numFmtId="0" fontId="1" fillId="2" borderId="0" xfId="0" applyFont="1" applyFill="1" applyBorder="1" applyAlignment="1">
      <alignment vertical="top" wrapText="1"/>
    </xf>
    <xf numFmtId="0" fontId="1" fillId="2" borderId="0" xfId="0" applyFont="1" applyFill="1" applyBorder="1" applyAlignment="1">
      <alignment horizontal="center" vertical="top" wrapText="1"/>
    </xf>
    <xf numFmtId="0" fontId="5" fillId="2" borderId="0" xfId="0" applyFont="1" applyFill="1" applyBorder="1" applyAlignment="1">
      <alignment vertical="top" wrapText="1"/>
    </xf>
    <xf numFmtId="0" fontId="2" fillId="2" borderId="0" xfId="0" applyFont="1" applyFill="1" applyAlignment="1">
      <alignment horizontal="left" vertical="top"/>
    </xf>
    <xf numFmtId="0" fontId="1" fillId="2" borderId="0" xfId="0" applyFont="1" applyFill="1" applyAlignment="1">
      <alignment horizontal="left" vertical="top"/>
    </xf>
    <xf numFmtId="0" fontId="6" fillId="2" borderId="1" xfId="0" applyFont="1" applyFill="1" applyBorder="1" applyAlignment="1">
      <alignment horizontal="center" vertical="top" wrapText="1"/>
    </xf>
    <xf numFmtId="0" fontId="2" fillId="4" borderId="0" xfId="0" applyFont="1" applyFill="1" applyAlignment="1">
      <alignment horizontal="left"/>
    </xf>
    <xf numFmtId="0" fontId="1" fillId="2" borderId="0" xfId="0" applyFont="1" applyFill="1" applyAlignment="1">
      <alignment horizontal="left"/>
    </xf>
    <xf numFmtId="0" fontId="7" fillId="2" borderId="0" xfId="0" applyFont="1" applyFill="1" applyAlignment="1">
      <alignment horizontal="center" vertical="top" wrapText="1"/>
    </xf>
    <xf numFmtId="0" fontId="2" fillId="0" borderId="0" xfId="0" applyFont="1" applyAlignment="1">
      <alignment horizontal="left" vertical="top" wrapText="1"/>
    </xf>
    <xf numFmtId="0" fontId="7" fillId="2" borderId="0" xfId="0" applyFont="1" applyFill="1" applyBorder="1" applyAlignment="1">
      <alignment horizontal="center" vertical="top" wrapText="1"/>
    </xf>
    <xf numFmtId="0" fontId="2" fillId="3" borderId="1" xfId="0" applyFont="1" applyFill="1" applyBorder="1" applyAlignment="1">
      <alignment horizontal="center" wrapText="1"/>
    </xf>
    <xf numFmtId="0" fontId="6" fillId="2" borderId="1" xfId="0" applyFont="1" applyFill="1" applyBorder="1" applyAlignment="1">
      <alignment horizontal="center" wrapText="1"/>
    </xf>
    <xf numFmtId="0" fontId="2" fillId="2" borderId="0" xfId="0" applyFont="1" applyFill="1" applyBorder="1" applyAlignment="1">
      <alignment wrapText="1"/>
    </xf>
    <xf numFmtId="1" fontId="2" fillId="2" borderId="0" xfId="0" applyNumberFormat="1" applyFont="1" applyFill="1" applyBorder="1" applyAlignment="1">
      <alignment wrapText="1"/>
    </xf>
    <xf numFmtId="1" fontId="2" fillId="4" borderId="0" xfId="0" applyNumberFormat="1" applyFont="1" applyFill="1" applyBorder="1" applyAlignment="1">
      <alignment wrapText="1"/>
    </xf>
    <xf numFmtId="0" fontId="1" fillId="2" borderId="0" xfId="0" applyFont="1" applyFill="1" applyBorder="1" applyAlignment="1">
      <alignment wrapText="1"/>
    </xf>
    <xf numFmtId="1" fontId="1" fillId="2" borderId="0" xfId="0" applyNumberFormat="1" applyFont="1" applyFill="1" applyBorder="1" applyAlignment="1">
      <alignment wrapText="1"/>
    </xf>
    <xf numFmtId="0" fontId="2" fillId="0" borderId="0" xfId="0" applyFont="1" applyAlignment="1">
      <alignment horizontal="left"/>
    </xf>
    <xf numFmtId="0" fontId="2" fillId="0" borderId="0" xfId="0" applyFont="1"/>
    <xf numFmtId="0" fontId="8" fillId="2" borderId="0" xfId="0" applyFont="1" applyFill="1"/>
    <xf numFmtId="0" fontId="9" fillId="0" borderId="0" xfId="0" applyFont="1"/>
    <xf numFmtId="0" fontId="10" fillId="0" borderId="0" xfId="0" applyFont="1"/>
    <xf numFmtId="0" fontId="11" fillId="0" borderId="0" xfId="0" applyFont="1"/>
    <xf numFmtId="0" fontId="12" fillId="0" borderId="0" xfId="0" applyFont="1"/>
    <xf numFmtId="0" fontId="13" fillId="0" borderId="0" xfId="0" applyFont="1"/>
    <xf numFmtId="0" fontId="11" fillId="0" borderId="0" xfId="0" applyFont="1" applyAlignment="1"/>
    <xf numFmtId="0" fontId="8" fillId="0" borderId="0" xfId="0" applyFont="1"/>
    <xf numFmtId="0" fontId="9" fillId="0" borderId="0" xfId="0" applyFont="1" applyAlignment="1">
      <alignment horizontal="right" vertical="top"/>
    </xf>
    <xf numFmtId="0" fontId="2" fillId="2" borderId="0" xfId="0" applyFont="1" applyFill="1" applyAlignment="1">
      <alignment vertical="top" wrapText="1"/>
    </xf>
    <xf numFmtId="0" fontId="2" fillId="2" borderId="0" xfId="0" applyFont="1" applyFill="1" applyAlignment="1">
      <alignment horizontal="center" vertical="top"/>
    </xf>
    <xf numFmtId="0" fontId="10" fillId="2" borderId="0" xfId="0" applyFont="1" applyFill="1" applyAlignment="1">
      <alignment horizontal="center" vertical="top" wrapText="1"/>
    </xf>
    <xf numFmtId="0" fontId="2" fillId="2" borderId="2" xfId="0" applyFont="1" applyFill="1" applyBorder="1" applyAlignment="1">
      <alignment horizontal="center" vertical="top" wrapText="1"/>
    </xf>
    <xf numFmtId="0" fontId="2" fillId="2" borderId="3" xfId="0" applyFont="1" applyFill="1" applyBorder="1" applyAlignment="1">
      <alignment horizontal="center" vertical="top" wrapText="1"/>
    </xf>
    <xf numFmtId="0" fontId="14" fillId="2" borderId="0" xfId="0" applyFont="1" applyFill="1" applyBorder="1" applyAlignment="1">
      <alignment horizontal="center" vertical="top" wrapText="1"/>
    </xf>
    <xf numFmtId="0" fontId="2" fillId="2" borderId="0" xfId="0" applyFont="1" applyFill="1" applyBorder="1" applyAlignment="1">
      <alignment horizontal="center" vertical="top"/>
    </xf>
    <xf numFmtId="0" fontId="15" fillId="2" borderId="0" xfId="0" applyFont="1" applyFill="1" applyBorder="1" applyAlignment="1">
      <alignment horizontal="center" vertical="top"/>
    </xf>
    <xf numFmtId="0" fontId="3" fillId="2" borderId="0" xfId="0" applyFont="1" applyFill="1" applyBorder="1" applyAlignment="1">
      <alignment vertical="top" wrapText="1"/>
    </xf>
    <xf numFmtId="0" fontId="15" fillId="2" borderId="0" xfId="0" applyFont="1" applyFill="1" applyBorder="1" applyAlignment="1">
      <alignment vertical="top"/>
    </xf>
    <xf numFmtId="0" fontId="2" fillId="0" borderId="0" xfId="0" applyFont="1" applyBorder="1"/>
    <xf numFmtId="0" fontId="8" fillId="2" borderId="0" xfId="0" applyFont="1" applyFill="1" applyBorder="1" applyAlignment="1">
      <alignment horizontal="center" vertical="top" wrapText="1"/>
    </xf>
    <xf numFmtId="0" fontId="8" fillId="2" borderId="0" xfId="0" applyFont="1" applyFill="1" applyBorder="1" applyAlignment="1">
      <alignment horizontal="center" vertical="top"/>
    </xf>
    <xf numFmtId="0" fontId="8" fillId="2" borderId="0" xfId="0" applyFont="1" applyFill="1" applyBorder="1"/>
    <xf numFmtId="0" fontId="9" fillId="2" borderId="0" xfId="0" applyFont="1" applyFill="1" applyBorder="1" applyAlignment="1">
      <alignment horizontal="center" vertical="top" wrapText="1"/>
    </xf>
    <xf numFmtId="0" fontId="9" fillId="2" borderId="0" xfId="0" applyFont="1" applyFill="1" applyBorder="1" applyAlignment="1">
      <alignment horizontal="center" vertical="top"/>
    </xf>
    <xf numFmtId="0" fontId="10" fillId="2" borderId="0" xfId="0" applyFont="1" applyFill="1" applyBorder="1" applyAlignment="1">
      <alignment horizontal="center" vertical="top" wrapText="1"/>
    </xf>
    <xf numFmtId="0" fontId="10" fillId="2" borderId="0" xfId="0" applyFont="1" applyFill="1" applyBorder="1" applyAlignment="1">
      <alignment horizontal="center" vertical="top"/>
    </xf>
    <xf numFmtId="0" fontId="2" fillId="2" borderId="1" xfId="0" applyFont="1" applyFill="1" applyBorder="1" applyAlignment="1">
      <alignment horizontal="center" vertical="top" wrapText="1"/>
    </xf>
    <xf numFmtId="0" fontId="2" fillId="2" borderId="1" xfId="0" applyFont="1" applyFill="1" applyBorder="1" applyAlignment="1">
      <alignment horizontal="left" vertical="top" wrapText="1"/>
    </xf>
    <xf numFmtId="0" fontId="11" fillId="2" borderId="0" xfId="0" applyFont="1" applyFill="1" applyBorder="1" applyAlignment="1">
      <alignment horizontal="center" vertical="top"/>
    </xf>
    <xf numFmtId="0" fontId="11" fillId="2" borderId="4" xfId="0" applyFont="1" applyFill="1" applyBorder="1" applyAlignment="1">
      <alignment horizontal="left" vertical="top" wrapText="1"/>
    </xf>
    <xf numFmtId="0" fontId="11" fillId="2" borderId="5" xfId="0" applyFont="1" applyFill="1" applyBorder="1" applyAlignment="1">
      <alignment horizontal="left" vertical="top" wrapText="1"/>
    </xf>
    <xf numFmtId="0" fontId="11" fillId="5" borderId="6" xfId="0" applyFont="1" applyFill="1" applyBorder="1" applyAlignment="1">
      <alignment horizontal="left" vertical="top" wrapText="1"/>
    </xf>
    <xf numFmtId="0" fontId="11" fillId="5" borderId="7" xfId="0" applyFont="1" applyFill="1" applyBorder="1" applyAlignment="1">
      <alignment horizontal="left" vertical="top" wrapText="1"/>
    </xf>
    <xf numFmtId="0" fontId="11" fillId="2" borderId="8" xfId="0" applyFont="1" applyFill="1" applyBorder="1" applyAlignment="1">
      <alignment horizontal="left"/>
    </xf>
    <xf numFmtId="0" fontId="11" fillId="2" borderId="9" xfId="0" applyFont="1" applyFill="1" applyBorder="1" applyAlignment="1">
      <alignment horizontal="left"/>
    </xf>
    <xf numFmtId="0" fontId="11" fillId="2" borderId="8" xfId="0" applyFont="1" applyFill="1" applyBorder="1" applyAlignment="1">
      <alignment horizontal="left" vertical="top" wrapText="1"/>
    </xf>
    <xf numFmtId="0" fontId="11" fillId="2" borderId="9" xfId="0" applyFont="1" applyFill="1" applyBorder="1" applyAlignment="1">
      <alignment horizontal="left" vertical="top" wrapText="1"/>
    </xf>
    <xf numFmtId="0" fontId="11" fillId="2" borderId="10" xfId="0" applyFont="1" applyFill="1" applyBorder="1" applyAlignment="1">
      <alignment horizontal="left" vertical="top" wrapText="1"/>
    </xf>
    <xf numFmtId="0" fontId="11" fillId="2" borderId="11" xfId="0" applyFont="1" applyFill="1" applyBorder="1" applyAlignment="1">
      <alignment horizontal="left" vertical="top" wrapText="1"/>
    </xf>
    <xf numFmtId="0" fontId="11" fillId="2" borderId="12" xfId="0" applyFont="1" applyFill="1" applyBorder="1" applyAlignment="1">
      <alignment horizontal="center" vertical="top" wrapText="1"/>
    </xf>
    <xf numFmtId="0" fontId="11" fillId="2" borderId="1" xfId="0" applyFont="1" applyFill="1" applyBorder="1" applyAlignment="1">
      <alignment horizontal="center" vertical="top" wrapText="1"/>
    </xf>
    <xf numFmtId="49" fontId="11" fillId="5" borderId="1" xfId="0" applyNumberFormat="1" applyFont="1" applyFill="1" applyBorder="1" applyAlignment="1">
      <alignment horizontal="center" vertical="top" wrapText="1"/>
    </xf>
    <xf numFmtId="49" fontId="11" fillId="2" borderId="3" xfId="0" applyNumberFormat="1" applyFont="1" applyFill="1" applyBorder="1" applyAlignment="1">
      <alignment horizontal="center" vertical="top" wrapText="1"/>
    </xf>
    <xf numFmtId="49" fontId="9" fillId="2" borderId="0" xfId="0" applyNumberFormat="1" applyFont="1" applyFill="1" applyBorder="1" applyAlignment="1">
      <alignment horizontal="justify" vertical="top" wrapText="1"/>
    </xf>
    <xf numFmtId="0" fontId="11" fillId="2" borderId="0" xfId="0" applyFont="1" applyFill="1" applyBorder="1" applyAlignment="1">
      <alignment horizontal="center" vertical="top" wrapText="1"/>
    </xf>
    <xf numFmtId="0" fontId="11" fillId="2" borderId="0" xfId="0" applyFont="1" applyFill="1" applyAlignment="1">
      <alignment horizontal="center" vertical="top" wrapText="1"/>
    </xf>
    <xf numFmtId="0" fontId="9" fillId="2" borderId="0" xfId="0" applyFont="1" applyFill="1" applyBorder="1" applyAlignment="1">
      <alignment horizontal="right" wrapText="1"/>
    </xf>
    <xf numFmtId="0" fontId="9" fillId="2" borderId="11" xfId="0" applyFont="1" applyFill="1" applyBorder="1" applyAlignment="1">
      <alignment horizontal="right" wrapText="1"/>
    </xf>
    <xf numFmtId="0" fontId="11" fillId="2" borderId="2" xfId="0" applyFont="1" applyFill="1" applyBorder="1" applyAlignment="1">
      <alignment horizontal="center" vertical="top" wrapText="1"/>
    </xf>
    <xf numFmtId="0" fontId="11" fillId="2" borderId="3" xfId="0" applyFont="1" applyFill="1" applyBorder="1" applyAlignment="1">
      <alignment horizontal="center" vertical="top" wrapText="1"/>
    </xf>
    <xf numFmtId="0" fontId="11" fillId="2" borderId="4" xfId="0" applyFont="1" applyFill="1" applyBorder="1" applyAlignment="1">
      <alignment horizontal="left" wrapText="1"/>
    </xf>
    <xf numFmtId="0" fontId="11" fillId="2" borderId="5" xfId="0" applyFont="1" applyFill="1" applyBorder="1" applyAlignment="1">
      <alignment horizontal="left" wrapText="1"/>
    </xf>
    <xf numFmtId="0" fontId="11" fillId="2" borderId="2" xfId="0" applyFont="1" applyFill="1" applyBorder="1" applyAlignment="1">
      <alignment horizontal="left" wrapText="1"/>
    </xf>
    <xf numFmtId="0" fontId="11" fillId="2" borderId="3" xfId="0" applyFont="1" applyFill="1" applyBorder="1" applyAlignment="1">
      <alignment horizontal="left" wrapText="1"/>
    </xf>
    <xf numFmtId="0" fontId="2" fillId="2" borderId="0" xfId="0" applyFont="1" applyFill="1" applyAlignment="1">
      <alignment vertical="top"/>
    </xf>
    <xf numFmtId="0" fontId="15" fillId="2" borderId="4" xfId="0" applyFont="1" applyFill="1" applyBorder="1" applyAlignment="1">
      <alignment vertical="top"/>
    </xf>
    <xf numFmtId="0" fontId="3" fillId="2" borderId="5" xfId="0" applyFont="1" applyFill="1" applyBorder="1" applyAlignment="1">
      <alignment vertical="top" wrapText="1"/>
    </xf>
    <xf numFmtId="0" fontId="15" fillId="2" borderId="5" xfId="0" applyFont="1" applyFill="1" applyBorder="1" applyAlignment="1">
      <alignment horizontal="center" vertical="top"/>
    </xf>
    <xf numFmtId="0" fontId="15" fillId="2" borderId="5" xfId="0" applyFont="1" applyFill="1" applyBorder="1" applyAlignment="1">
      <alignment vertical="top"/>
    </xf>
    <xf numFmtId="0" fontId="3" fillId="2" borderId="13" xfId="0" applyFont="1" applyFill="1" applyBorder="1" applyAlignment="1">
      <alignment vertical="top" wrapText="1"/>
    </xf>
    <xf numFmtId="0" fontId="8" fillId="2" borderId="13" xfId="0" applyFont="1" applyFill="1" applyBorder="1"/>
    <xf numFmtId="0" fontId="9" fillId="2" borderId="10" xfId="0" applyFont="1" applyFill="1" applyBorder="1" applyAlignment="1">
      <alignment horizontal="center" vertical="top"/>
    </xf>
    <xf numFmtId="0" fontId="9" fillId="2" borderId="11" xfId="0" applyFont="1" applyFill="1" applyBorder="1" applyAlignment="1">
      <alignment horizontal="center" vertical="top"/>
    </xf>
    <xf numFmtId="0" fontId="9" fillId="2" borderId="11" xfId="0" applyFont="1" applyFill="1" applyBorder="1" applyAlignment="1">
      <alignment vertical="top"/>
    </xf>
    <xf numFmtId="0" fontId="10" fillId="2" borderId="0" xfId="0" applyFont="1" applyFill="1" applyBorder="1" applyAlignment="1">
      <alignment vertical="top"/>
    </xf>
    <xf numFmtId="0" fontId="11" fillId="2" borderId="0" xfId="0" applyFont="1" applyFill="1" applyAlignment="1">
      <alignment horizontal="center" vertical="top"/>
    </xf>
    <xf numFmtId="0" fontId="11" fillId="2" borderId="0" xfId="0" applyFont="1" applyFill="1" applyAlignment="1">
      <alignment vertical="top"/>
    </xf>
    <xf numFmtId="0" fontId="11" fillId="5" borderId="14" xfId="0" applyFont="1" applyFill="1" applyBorder="1" applyAlignment="1">
      <alignment horizontal="left" vertical="top" wrapText="1"/>
    </xf>
    <xf numFmtId="0" fontId="11" fillId="5" borderId="15" xfId="0" applyFont="1" applyFill="1" applyBorder="1" applyAlignment="1">
      <alignment horizontal="left" vertical="top" wrapText="1"/>
    </xf>
    <xf numFmtId="0" fontId="16" fillId="5" borderId="15" xfId="6" applyFill="1" applyBorder="1" applyAlignment="1" applyProtection="1">
      <alignment horizontal="left" vertical="top" wrapText="1"/>
    </xf>
    <xf numFmtId="0" fontId="11" fillId="2" borderId="4" xfId="0" applyFont="1" applyFill="1" applyBorder="1" applyAlignment="1">
      <alignment horizontal="center" vertical="top" wrapText="1"/>
    </xf>
    <xf numFmtId="0" fontId="11" fillId="2" borderId="10" xfId="0" applyFont="1" applyFill="1" applyBorder="1" applyAlignment="1">
      <alignment horizontal="center" vertical="top" wrapText="1"/>
    </xf>
    <xf numFmtId="0" fontId="11" fillId="5" borderId="1" xfId="0" applyFont="1" applyFill="1" applyBorder="1" applyAlignment="1">
      <alignment horizontal="center" vertical="top" wrapText="1"/>
    </xf>
    <xf numFmtId="49" fontId="11" fillId="2" borderId="0" xfId="0" applyNumberFormat="1" applyFont="1" applyFill="1" applyBorder="1" applyAlignment="1">
      <alignment horizontal="center" vertical="top" wrapText="1"/>
    </xf>
    <xf numFmtId="0" fontId="15" fillId="2" borderId="5" xfId="0" applyFont="1" applyFill="1" applyBorder="1"/>
    <xf numFmtId="0" fontId="3" fillId="2" borderId="5" xfId="0" applyFont="1" applyFill="1" applyBorder="1" applyAlignment="1">
      <alignment horizontal="center" vertical="top" wrapText="1"/>
    </xf>
    <xf numFmtId="0" fontId="3" fillId="2" borderId="0" xfId="0" applyFont="1" applyFill="1" applyBorder="1" applyAlignment="1">
      <alignment horizontal="center" vertical="top" wrapText="1"/>
    </xf>
    <xf numFmtId="0" fontId="8" fillId="2" borderId="0" xfId="0" applyFont="1" applyFill="1" applyBorder="1" applyAlignment="1">
      <alignment horizontal="right" vertical="top"/>
    </xf>
    <xf numFmtId="0" fontId="11" fillId="5" borderId="15" xfId="0" applyFont="1" applyFill="1" applyBorder="1" applyAlignment="1">
      <alignment horizontal="left"/>
    </xf>
    <xf numFmtId="0" fontId="11" fillId="2" borderId="5" xfId="0" applyFont="1" applyFill="1" applyBorder="1" applyAlignment="1">
      <alignment horizontal="center" vertical="top" wrapText="1"/>
    </xf>
    <xf numFmtId="0" fontId="11" fillId="2" borderId="11" xfId="0" applyFont="1" applyFill="1" applyBorder="1" applyAlignment="1">
      <alignment horizontal="center" vertical="top" wrapText="1"/>
    </xf>
    <xf numFmtId="0" fontId="8" fillId="5" borderId="7" xfId="0" applyFont="1" applyFill="1" applyBorder="1" applyAlignment="1">
      <alignment horizontal="center" vertical="top"/>
    </xf>
    <xf numFmtId="0" fontId="8" fillId="5" borderId="7" xfId="0" applyFont="1" applyFill="1" applyBorder="1" applyAlignment="1">
      <alignment horizontal="left" vertical="top"/>
    </xf>
    <xf numFmtId="0" fontId="9" fillId="2" borderId="16" xfId="0" applyFont="1" applyFill="1" applyBorder="1" applyAlignment="1">
      <alignment horizontal="center" vertical="top"/>
    </xf>
    <xf numFmtId="0" fontId="11" fillId="2" borderId="17" xfId="0" applyFont="1" applyFill="1" applyBorder="1" applyAlignment="1">
      <alignment horizontal="center" vertical="top" wrapText="1"/>
    </xf>
    <xf numFmtId="0" fontId="11" fillId="2" borderId="18" xfId="0" applyFont="1" applyFill="1" applyBorder="1" applyAlignment="1">
      <alignment horizontal="center" vertical="top" wrapText="1"/>
    </xf>
    <xf numFmtId="0" fontId="2" fillId="4" borderId="0" xfId="0" applyFont="1" applyFill="1"/>
    <xf numFmtId="0" fontId="2" fillId="4" borderId="0" xfId="0" applyFont="1" applyFill="1" applyAlignment="1">
      <alignment vertical="top" wrapText="1"/>
    </xf>
    <xf numFmtId="0" fontId="2" fillId="4" borderId="0" xfId="0" applyFont="1" applyFill="1" applyAlignment="1">
      <alignment vertical="top"/>
    </xf>
    <xf numFmtId="0" fontId="8" fillId="2" borderId="0" xfId="0" applyFont="1" applyFill="1" applyBorder="1" applyAlignment="1">
      <alignment horizontal="left" vertical="top"/>
    </xf>
    <xf numFmtId="0" fontId="11" fillId="2" borderId="19" xfId="0" applyFont="1" applyFill="1" applyBorder="1" applyAlignment="1">
      <alignment horizontal="center" vertical="top" wrapText="1"/>
    </xf>
    <xf numFmtId="0" fontId="11" fillId="2" borderId="2" xfId="0" applyFont="1" applyFill="1" applyBorder="1" applyAlignment="1">
      <alignment horizontal="center" wrapText="1"/>
    </xf>
    <xf numFmtId="0" fontId="11" fillId="2" borderId="3" xfId="0" applyFont="1" applyFill="1" applyBorder="1" applyAlignment="1">
      <alignment horizontal="center" wrapText="1"/>
    </xf>
    <xf numFmtId="0" fontId="11" fillId="2" borderId="19" xfId="0" applyFont="1" applyFill="1" applyBorder="1" applyAlignment="1">
      <alignment horizontal="center" wrapText="1"/>
    </xf>
    <xf numFmtId="0" fontId="11" fillId="2" borderId="17" xfId="0" applyFont="1" applyFill="1" applyBorder="1" applyAlignment="1">
      <alignment horizontal="left" wrapText="1"/>
    </xf>
    <xf numFmtId="180" fontId="11" fillId="5" borderId="1" xfId="0" applyNumberFormat="1" applyFont="1" applyFill="1" applyBorder="1" applyAlignment="1">
      <alignment horizontal="center"/>
    </xf>
    <xf numFmtId="0" fontId="11" fillId="2" borderId="19" xfId="0" applyFont="1" applyFill="1" applyBorder="1" applyAlignment="1">
      <alignment horizontal="left" wrapText="1"/>
    </xf>
    <xf numFmtId="0" fontId="11" fillId="2" borderId="4" xfId="0" applyFont="1" applyFill="1" applyBorder="1" applyAlignment="1">
      <alignment horizontal="center" wrapText="1"/>
    </xf>
    <xf numFmtId="0" fontId="11" fillId="2" borderId="5" xfId="0" applyFont="1" applyFill="1" applyBorder="1" applyAlignment="1">
      <alignment horizontal="center" wrapText="1"/>
    </xf>
    <xf numFmtId="0" fontId="11" fillId="2" borderId="17" xfId="0" applyFont="1" applyFill="1" applyBorder="1" applyAlignment="1">
      <alignment horizontal="center" wrapText="1"/>
    </xf>
    <xf numFmtId="180" fontId="11" fillId="5" borderId="20" xfId="0" applyNumberFormat="1" applyFont="1" applyFill="1" applyBorder="1" applyAlignment="1">
      <alignment horizontal="center"/>
    </xf>
    <xf numFmtId="0" fontId="11" fillId="2" borderId="1" xfId="0" applyFont="1" applyFill="1" applyBorder="1" applyAlignment="1">
      <alignment horizontal="center" wrapText="1"/>
    </xf>
    <xf numFmtId="0" fontId="2" fillId="4" borderId="0" xfId="0" applyFont="1" applyFill="1" applyAlignment="1">
      <alignment horizontal="left" vertical="top" wrapText="1"/>
    </xf>
    <xf numFmtId="0" fontId="2" fillId="4" borderId="11" xfId="0" applyFont="1" applyFill="1" applyBorder="1" applyAlignment="1">
      <alignment vertical="top" wrapText="1"/>
    </xf>
    <xf numFmtId="0" fontId="2" fillId="4" borderId="11" xfId="0" applyFont="1" applyFill="1" applyBorder="1" applyAlignment="1">
      <alignment horizontal="left" vertical="top" wrapText="1"/>
    </xf>
    <xf numFmtId="0" fontId="15" fillId="2" borderId="17" xfId="0" applyFont="1" applyFill="1" applyBorder="1" applyAlignment="1">
      <alignment vertical="top"/>
    </xf>
    <xf numFmtId="0" fontId="3" fillId="2" borderId="21" xfId="0" applyFont="1" applyFill="1" applyBorder="1" applyAlignment="1">
      <alignment vertical="top" wrapText="1"/>
    </xf>
    <xf numFmtId="0" fontId="8" fillId="2" borderId="21" xfId="0" applyFont="1" applyFill="1" applyBorder="1"/>
    <xf numFmtId="0" fontId="9" fillId="2" borderId="18" xfId="0" applyFont="1" applyFill="1" applyBorder="1" applyAlignment="1">
      <alignment vertical="top"/>
    </xf>
    <xf numFmtId="0" fontId="9" fillId="2" borderId="0" xfId="0" applyFont="1" applyFill="1" applyBorder="1" applyAlignment="1">
      <alignment vertical="top"/>
    </xf>
    <xf numFmtId="0" fontId="2" fillId="2" borderId="21" xfId="0" applyFont="1" applyFill="1" applyBorder="1" applyAlignment="1">
      <alignment vertical="top" wrapText="1"/>
    </xf>
    <xf numFmtId="0" fontId="2" fillId="2" borderId="0" xfId="0" applyFont="1" applyFill="1" applyBorder="1" applyAlignment="1">
      <alignment vertical="center" wrapText="1"/>
    </xf>
    <xf numFmtId="49" fontId="2" fillId="2" borderId="1" xfId="0" applyNumberFormat="1" applyFont="1" applyFill="1" applyBorder="1" applyAlignment="1">
      <alignment horizontal="center" vertical="top" wrapText="1"/>
    </xf>
    <xf numFmtId="0" fontId="2" fillId="2" borderId="0" xfId="0" applyFont="1" applyFill="1" applyBorder="1"/>
    <xf numFmtId="0" fontId="2" fillId="2" borderId="0" xfId="0" applyFont="1" applyFill="1"/>
    <xf numFmtId="0" fontId="2" fillId="2" borderId="0" xfId="0" applyFont="1" applyFill="1" applyBorder="1" applyAlignment="1">
      <alignment vertical="top"/>
    </xf>
    <xf numFmtId="0" fontId="2" fillId="2" borderId="1" xfId="0" applyFont="1" applyFill="1" applyBorder="1" applyAlignment="1">
      <alignment horizontal="center" vertical="center" wrapText="1"/>
    </xf>
    <xf numFmtId="0" fontId="2" fillId="2" borderId="5" xfId="0" applyFont="1" applyFill="1" applyBorder="1" applyAlignment="1">
      <alignment horizontal="center" vertical="center" wrapText="1"/>
    </xf>
    <xf numFmtId="180" fontId="11" fillId="5" borderId="1" xfId="0" applyNumberFormat="1" applyFont="1" applyFill="1" applyBorder="1" applyAlignment="1">
      <alignment horizontal="center" wrapText="1"/>
    </xf>
    <xf numFmtId="180" fontId="11" fillId="2" borderId="1" xfId="0" applyNumberFormat="1" applyFont="1" applyFill="1" applyBorder="1" applyAlignment="1">
      <alignment horizontal="center" wrapText="1"/>
    </xf>
    <xf numFmtId="180" fontId="11" fillId="5" borderId="20" xfId="0" applyNumberFormat="1" applyFont="1" applyFill="1" applyBorder="1" applyAlignment="1">
      <alignment horizontal="center" wrapText="1"/>
    </xf>
    <xf numFmtId="180" fontId="11" fillId="6" borderId="1" xfId="0" applyNumberFormat="1" applyFont="1" applyFill="1" applyBorder="1" applyAlignment="1">
      <alignment horizontal="center" wrapText="1"/>
    </xf>
    <xf numFmtId="0" fontId="2" fillId="2" borderId="19" xfId="0" applyFont="1" applyFill="1" applyBorder="1" applyAlignment="1">
      <alignment horizontal="center" vertical="top" wrapText="1"/>
    </xf>
    <xf numFmtId="0" fontId="11" fillId="5" borderId="22" xfId="0" applyFont="1" applyFill="1" applyBorder="1" applyAlignment="1">
      <alignment horizontal="left" vertical="top" wrapText="1"/>
    </xf>
    <xf numFmtId="0" fontId="11" fillId="5" borderId="23" xfId="0" applyFont="1" applyFill="1" applyBorder="1" applyAlignment="1">
      <alignment horizontal="left" vertical="top" wrapText="1"/>
    </xf>
    <xf numFmtId="0" fontId="11" fillId="5" borderId="24" xfId="0" applyFont="1" applyFill="1" applyBorder="1" applyAlignment="1">
      <alignment horizontal="left"/>
    </xf>
    <xf numFmtId="0" fontId="11" fillId="5" borderId="24" xfId="0" applyFont="1" applyFill="1" applyBorder="1" applyAlignment="1">
      <alignment horizontal="left" vertical="top" wrapText="1"/>
    </xf>
    <xf numFmtId="0" fontId="11" fillId="2" borderId="18" xfId="0" applyFont="1" applyFill="1" applyBorder="1" applyAlignment="1">
      <alignment horizontal="left" vertical="top" wrapText="1"/>
    </xf>
    <xf numFmtId="0" fontId="3" fillId="0" borderId="0" xfId="0" applyFont="1" applyAlignment="1">
      <alignment wrapText="1"/>
    </xf>
    <xf numFmtId="0" fontId="12" fillId="2" borderId="0" xfId="0" applyFont="1" applyFill="1" applyAlignment="1">
      <alignment horizontal="center" vertical="top"/>
    </xf>
    <xf numFmtId="0" fontId="8" fillId="2" borderId="0" xfId="0" applyFont="1" applyFill="1" applyAlignment="1">
      <alignment vertical="top" wrapText="1"/>
    </xf>
    <xf numFmtId="0" fontId="8" fillId="2" borderId="0" xfId="0" applyFont="1" applyFill="1" applyAlignment="1">
      <alignment horizontal="center" vertical="top" wrapText="1"/>
    </xf>
    <xf numFmtId="0" fontId="8" fillId="2" borderId="1" xfId="0" applyFont="1" applyFill="1" applyBorder="1" applyAlignment="1">
      <alignment horizontal="center" vertical="top" wrapText="1"/>
    </xf>
    <xf numFmtId="0" fontId="8" fillId="2" borderId="1" xfId="0" applyFont="1" applyFill="1" applyBorder="1" applyAlignment="1">
      <alignment horizontal="left" wrapText="1"/>
    </xf>
    <xf numFmtId="0" fontId="8" fillId="2" borderId="1" xfId="0" applyFont="1" applyFill="1" applyBorder="1" applyAlignment="1">
      <alignment wrapText="1"/>
    </xf>
    <xf numFmtId="0" fontId="13" fillId="2" borderId="0" xfId="0" applyFont="1" applyFill="1" applyAlignment="1">
      <alignment vertical="top"/>
    </xf>
    <xf numFmtId="0" fontId="11" fillId="2" borderId="0" xfId="0" applyFont="1" applyFill="1" applyBorder="1" applyAlignment="1">
      <alignment horizontal="left" wrapText="1"/>
    </xf>
    <xf numFmtId="0" fontId="11" fillId="2" borderId="0" xfId="0" applyFont="1" applyFill="1" applyBorder="1" applyAlignment="1">
      <alignment wrapText="1"/>
    </xf>
    <xf numFmtId="0" fontId="11" fillId="2" borderId="0" xfId="0" applyFont="1" applyFill="1" applyBorder="1" applyAlignment="1">
      <alignment vertical="top" wrapText="1"/>
    </xf>
    <xf numFmtId="0" fontId="11" fillId="2" borderId="0" xfId="0" applyFont="1" applyFill="1" applyAlignment="1">
      <alignment horizontal="left" wrapText="1"/>
    </xf>
    <xf numFmtId="0" fontId="9" fillId="2" borderId="0" xfId="0" applyFont="1" applyFill="1" applyAlignment="1">
      <alignment vertical="top" wrapText="1"/>
    </xf>
    <xf numFmtId="0" fontId="11" fillId="2" borderId="0" xfId="0" applyFont="1" applyFill="1" applyAlignment="1">
      <alignment vertical="top" wrapText="1"/>
    </xf>
    <xf numFmtId="0" fontId="11" fillId="5" borderId="7" xfId="0" applyFont="1" applyFill="1" applyBorder="1" applyAlignment="1">
      <alignment horizontal="center"/>
    </xf>
    <xf numFmtId="0" fontId="9" fillId="2" borderId="9" xfId="0" applyFont="1" applyFill="1" applyBorder="1" applyAlignment="1">
      <alignment horizontal="center" vertical="top" wrapText="1"/>
    </xf>
    <xf numFmtId="0" fontId="8" fillId="2" borderId="2" xfId="0" applyFont="1" applyFill="1" applyBorder="1" applyAlignment="1">
      <alignment horizontal="center" vertical="top" wrapText="1"/>
    </xf>
    <xf numFmtId="0" fontId="8" fillId="2" borderId="3" xfId="0" applyFont="1" applyFill="1" applyBorder="1" applyAlignment="1">
      <alignment horizontal="center" vertical="top" wrapText="1"/>
    </xf>
    <xf numFmtId="0" fontId="8" fillId="2" borderId="1" xfId="0" applyFont="1" applyFill="1" applyBorder="1" applyAlignment="1">
      <alignment horizontal="center" wrapText="1"/>
    </xf>
    <xf numFmtId="180" fontId="8" fillId="2" borderId="1" xfId="0" applyNumberFormat="1" applyFont="1" applyFill="1" applyBorder="1" applyAlignment="1">
      <alignment horizontal="center" wrapText="1"/>
    </xf>
    <xf numFmtId="180" fontId="8" fillId="5" borderId="1" xfId="0" applyNumberFormat="1" applyFont="1" applyFill="1" applyBorder="1" applyAlignment="1">
      <alignment horizontal="center" wrapText="1"/>
    </xf>
    <xf numFmtId="0" fontId="13" fillId="2" borderId="0" xfId="0" applyFont="1" applyFill="1" applyBorder="1" applyAlignment="1">
      <alignment vertical="top" wrapText="1"/>
    </xf>
    <xf numFmtId="180" fontId="17" fillId="2" borderId="0" xfId="0" applyNumberFormat="1" applyFont="1" applyFill="1" applyBorder="1" applyAlignment="1">
      <alignment horizontal="center" wrapText="1"/>
    </xf>
    <xf numFmtId="0" fontId="8" fillId="2" borderId="4" xfId="0" applyFont="1" applyFill="1" applyBorder="1" applyAlignment="1">
      <alignment horizontal="center" vertical="top" wrapText="1"/>
    </xf>
    <xf numFmtId="0" fontId="8" fillId="2" borderId="5" xfId="0" applyFont="1" applyFill="1" applyBorder="1" applyAlignment="1">
      <alignment horizontal="center" vertical="top" wrapText="1"/>
    </xf>
    <xf numFmtId="0" fontId="8" fillId="2" borderId="10" xfId="0" applyFont="1" applyFill="1" applyBorder="1" applyAlignment="1">
      <alignment horizontal="center" vertical="top" wrapText="1"/>
    </xf>
    <xf numFmtId="0" fontId="8" fillId="2" borderId="11" xfId="0" applyFont="1" applyFill="1" applyBorder="1" applyAlignment="1">
      <alignment horizontal="center" vertical="top" wrapText="1"/>
    </xf>
    <xf numFmtId="0" fontId="11" fillId="2" borderId="0" xfId="0" applyFont="1" applyFill="1" applyBorder="1" applyAlignment="1">
      <alignment horizontal="center" wrapText="1"/>
    </xf>
    <xf numFmtId="180" fontId="11" fillId="2" borderId="0" xfId="0" applyNumberFormat="1" applyFont="1" applyFill="1" applyBorder="1" applyAlignment="1">
      <alignment horizontal="center" wrapText="1"/>
    </xf>
    <xf numFmtId="0" fontId="12" fillId="2" borderId="0" xfId="0" applyFont="1" applyFill="1" applyAlignment="1">
      <alignment vertical="top"/>
    </xf>
    <xf numFmtId="0" fontId="8" fillId="2" borderId="19" xfId="0" applyFont="1" applyFill="1" applyBorder="1" applyAlignment="1">
      <alignment horizontal="center" vertical="top" wrapText="1"/>
    </xf>
    <xf numFmtId="0" fontId="18" fillId="2" borderId="3" xfId="0" applyFont="1" applyFill="1" applyBorder="1"/>
    <xf numFmtId="0" fontId="18" fillId="2" borderId="19" xfId="0" applyFont="1" applyFill="1" applyBorder="1"/>
    <xf numFmtId="180" fontId="8" fillId="2" borderId="2" xfId="0" applyNumberFormat="1" applyFont="1" applyFill="1" applyBorder="1" applyAlignment="1">
      <alignment horizontal="center" wrapText="1"/>
    </xf>
    <xf numFmtId="180" fontId="8" fillId="2" borderId="3" xfId="0" applyNumberFormat="1" applyFont="1" applyFill="1" applyBorder="1" applyAlignment="1">
      <alignment horizontal="center" wrapText="1"/>
    </xf>
    <xf numFmtId="180" fontId="8" fillId="2" borderId="19" xfId="0" applyNumberFormat="1" applyFont="1" applyFill="1" applyBorder="1" applyAlignment="1">
      <alignment horizontal="center" wrapText="1"/>
    </xf>
    <xf numFmtId="180" fontId="8" fillId="5" borderId="2" xfId="0" applyNumberFormat="1" applyFont="1" applyFill="1" applyBorder="1" applyAlignment="1">
      <alignment horizontal="center" wrapText="1"/>
    </xf>
    <xf numFmtId="180" fontId="8" fillId="5" borderId="3" xfId="0" applyNumberFormat="1" applyFont="1" applyFill="1" applyBorder="1" applyAlignment="1">
      <alignment horizontal="center" wrapText="1"/>
    </xf>
    <xf numFmtId="180" fontId="8" fillId="5" borderId="19" xfId="0" applyNumberFormat="1" applyFont="1" applyFill="1" applyBorder="1" applyAlignment="1">
      <alignment horizontal="center" wrapText="1"/>
    </xf>
    <xf numFmtId="180" fontId="11" fillId="2" borderId="11" xfId="0" applyNumberFormat="1" applyFont="1" applyFill="1" applyBorder="1" applyAlignment="1">
      <alignment horizontal="center" wrapText="1"/>
    </xf>
    <xf numFmtId="0" fontId="11" fillId="4" borderId="0" xfId="0" applyFont="1" applyFill="1" applyBorder="1" applyAlignment="1">
      <alignment wrapText="1"/>
    </xf>
    <xf numFmtId="0" fontId="12" fillId="4" borderId="0" xfId="0" applyFont="1" applyFill="1" applyBorder="1" applyAlignment="1">
      <alignment vertical="top"/>
    </xf>
    <xf numFmtId="181" fontId="11" fillId="5" borderId="7" xfId="0" applyNumberFormat="1" applyFont="1" applyFill="1" applyBorder="1" applyAlignment="1">
      <alignment horizontal="center"/>
    </xf>
    <xf numFmtId="0" fontId="12" fillId="2" borderId="0" xfId="0" applyFont="1" applyFill="1"/>
    <xf numFmtId="182" fontId="11" fillId="2" borderId="0" xfId="0" applyNumberFormat="1" applyFont="1" applyFill="1" applyBorder="1" applyAlignment="1">
      <alignment vertical="top" wrapText="1"/>
    </xf>
    <xf numFmtId="0" fontId="11" fillId="4" borderId="0" xfId="0" applyFont="1" applyFill="1" applyBorder="1" applyAlignment="1"/>
    <xf numFmtId="0" fontId="11" fillId="2" borderId="7" xfId="0" applyFont="1" applyFill="1" applyBorder="1" applyAlignment="1">
      <alignment horizontal="center"/>
    </xf>
    <xf numFmtId="0" fontId="9" fillId="4" borderId="0" xfId="0" applyFont="1" applyFill="1" applyBorder="1" applyAlignment="1">
      <alignment vertical="top" wrapText="1"/>
    </xf>
    <xf numFmtId="180" fontId="8" fillId="2" borderId="2" xfId="0" applyNumberFormat="1" applyFont="1" applyFill="1" applyBorder="1" applyAlignment="1">
      <alignment horizontal="center"/>
    </xf>
    <xf numFmtId="180" fontId="8" fillId="2" borderId="3" xfId="0" applyNumberFormat="1" applyFont="1" applyFill="1" applyBorder="1" applyAlignment="1">
      <alignment horizontal="center"/>
    </xf>
    <xf numFmtId="180" fontId="8" fillId="2" borderId="19" xfId="0" applyNumberFormat="1" applyFont="1" applyFill="1" applyBorder="1" applyAlignment="1">
      <alignment horizontal="center"/>
    </xf>
    <xf numFmtId="180" fontId="8" fillId="2" borderId="1" xfId="0" applyNumberFormat="1" applyFont="1" applyFill="1" applyBorder="1" applyAlignment="1">
      <alignment horizontal="center"/>
    </xf>
    <xf numFmtId="180" fontId="8" fillId="5" borderId="2" xfId="0" applyNumberFormat="1" applyFont="1" applyFill="1" applyBorder="1" applyAlignment="1">
      <alignment horizontal="center"/>
    </xf>
    <xf numFmtId="180" fontId="8" fillId="5" borderId="3" xfId="0" applyNumberFormat="1" applyFont="1" applyFill="1" applyBorder="1" applyAlignment="1">
      <alignment horizontal="center"/>
    </xf>
    <xf numFmtId="180" fontId="8" fillId="5" borderId="19" xfId="0" applyNumberFormat="1" applyFont="1" applyFill="1" applyBorder="1" applyAlignment="1">
      <alignment horizontal="center"/>
    </xf>
    <xf numFmtId="180" fontId="8" fillId="5" borderId="1" xfId="0" applyNumberFormat="1" applyFont="1" applyFill="1" applyBorder="1" applyAlignment="1">
      <alignment horizontal="center"/>
    </xf>
    <xf numFmtId="180" fontId="11" fillId="2" borderId="0" xfId="0" applyNumberFormat="1" applyFont="1" applyFill="1" applyBorder="1" applyAlignment="1">
      <alignment horizontal="center"/>
    </xf>
    <xf numFmtId="180" fontId="11" fillId="2" borderId="11" xfId="0" applyNumberFormat="1" applyFont="1" applyFill="1" applyBorder="1" applyAlignment="1">
      <alignment horizontal="center"/>
    </xf>
    <xf numFmtId="0" fontId="11" fillId="2" borderId="0" xfId="0" applyFont="1" applyFill="1" applyBorder="1"/>
    <xf numFmtId="182" fontId="11" fillId="2" borderId="0" xfId="0" applyNumberFormat="1" applyFont="1" applyFill="1" applyBorder="1" applyAlignment="1">
      <alignment vertical="top"/>
    </xf>
    <xf numFmtId="0" fontId="11" fillId="4" borderId="0" xfId="0" applyFont="1" applyFill="1" applyAlignment="1"/>
    <xf numFmtId="0" fontId="12" fillId="4" borderId="0" xfId="0" applyFont="1" applyFill="1"/>
    <xf numFmtId="0" fontId="8" fillId="4" borderId="0" xfId="0" applyFont="1" applyFill="1"/>
    <xf numFmtId="0" fontId="11" fillId="4" borderId="0" xfId="0" applyFont="1" applyFill="1" applyBorder="1" applyAlignment="1">
      <alignment horizontal="left" vertical="top"/>
    </xf>
    <xf numFmtId="0" fontId="9" fillId="4" borderId="0" xfId="0" applyFont="1" applyFill="1" applyAlignment="1">
      <alignment vertical="top" wrapText="1"/>
    </xf>
    <xf numFmtId="0" fontId="11" fillId="2" borderId="0" xfId="0" applyFont="1" applyFill="1" applyBorder="1" applyAlignment="1"/>
    <xf numFmtId="0" fontId="9" fillId="2" borderId="0" xfId="0" applyFont="1" applyFill="1" applyBorder="1" applyAlignment="1">
      <alignment vertical="top" wrapText="1"/>
    </xf>
    <xf numFmtId="0" fontId="11" fillId="2" borderId="0" xfId="0" applyFont="1" applyFill="1"/>
    <xf numFmtId="0" fontId="11" fillId="2" borderId="0" xfId="0" applyFont="1" applyFill="1" applyAlignment="1"/>
    <xf numFmtId="0" fontId="2" fillId="4" borderId="0" xfId="0" applyFont="1" applyFill="1" applyAlignment="1" quotePrefix="1">
      <alignment horizontal="left" vertical="top" wrapText="1"/>
    </xf>
    <xf numFmtId="0" fontId="2" fillId="2" borderId="2" xfId="0" applyFont="1" applyFill="1" applyBorder="1" applyAlignment="1" quotePrefix="1">
      <alignment horizontal="center" vertical="top" wrapText="1"/>
    </xf>
    <xf numFmtId="0" fontId="2" fillId="2" borderId="1" xfId="0" applyFont="1" applyFill="1" applyBorder="1" applyAlignment="1" quotePrefix="1">
      <alignment horizontal="left" vertical="top" wrapText="1"/>
    </xf>
    <xf numFmtId="49" fontId="2" fillId="2" borderId="1" xfId="0" applyNumberFormat="1" applyFont="1" applyFill="1" applyBorder="1" applyAlignment="1" quotePrefix="1">
      <alignment horizontal="center" vertical="top" wrapText="1"/>
    </xf>
    <xf numFmtId="0" fontId="11" fillId="2" borderId="4" xfId="0" applyFont="1" applyFill="1" applyBorder="1" applyAlignment="1" quotePrefix="1">
      <alignment horizontal="left" vertical="top" wrapText="1"/>
    </xf>
    <xf numFmtId="0" fontId="11" fillId="2" borderId="8" xfId="0" applyFont="1" applyFill="1" applyBorder="1" applyAlignment="1" quotePrefix="1">
      <alignment horizontal="left"/>
    </xf>
    <xf numFmtId="0" fontId="11" fillId="2" borderId="8" xfId="0" applyFont="1" applyFill="1" applyBorder="1" applyAlignment="1" quotePrefix="1">
      <alignment horizontal="left" vertical="top" wrapText="1"/>
    </xf>
    <xf numFmtId="0" fontId="11" fillId="2" borderId="12" xfId="0" applyFont="1" applyFill="1" applyBorder="1" applyAlignment="1" quotePrefix="1">
      <alignment horizontal="center" vertical="top" wrapText="1"/>
    </xf>
    <xf numFmtId="0" fontId="11" fillId="2" borderId="4" xfId="0" applyFont="1" applyFill="1" applyBorder="1" applyAlignment="1" quotePrefix="1">
      <alignment horizontal="center" vertical="top" wrapText="1"/>
    </xf>
    <xf numFmtId="0" fontId="11" fillId="2" borderId="1" xfId="0" applyFont="1" applyFill="1" applyBorder="1" applyAlignment="1" quotePrefix="1">
      <alignment horizontal="center" vertical="top" wrapText="1"/>
    </xf>
    <xf numFmtId="0" fontId="11" fillId="2" borderId="2" xfId="0" applyFont="1" applyFill="1" applyBorder="1" applyAlignment="1" quotePrefix="1">
      <alignment horizontal="left" wrapText="1"/>
    </xf>
    <xf numFmtId="0" fontId="8" fillId="2" borderId="1" xfId="0" applyFont="1" applyFill="1" applyBorder="1" applyAlignment="1" quotePrefix="1">
      <alignment horizontal="center" vertical="top" wrapText="1"/>
    </xf>
    <xf numFmtId="0" fontId="8" fillId="2" borderId="2" xfId="0" applyFont="1" applyFill="1" applyBorder="1" applyAlignment="1" quotePrefix="1">
      <alignment horizontal="center" vertical="top" wrapText="1"/>
    </xf>
    <xf numFmtId="0" fontId="8" fillId="2" borderId="1" xfId="0" applyFont="1" applyFill="1" applyBorder="1" applyAlignment="1" quotePrefix="1">
      <alignment horizontal="left" wrapText="1"/>
    </xf>
    <xf numFmtId="0" fontId="8" fillId="2" borderId="4" xfId="0" applyFont="1" applyFill="1" applyBorder="1" applyAlignment="1" quotePrefix="1">
      <alignment horizontal="center" vertical="top" wrapText="1"/>
    </xf>
    <xf numFmtId="0" fontId="3" fillId="2" borderId="0" xfId="0" applyFont="1" applyFill="1" applyAlignment="1" quotePrefix="1">
      <alignment horizontal="center" vertical="top" wrapText="1"/>
    </xf>
  </cellXfs>
  <cellStyles count="49">
    <cellStyle name="Обычный" xfId="0" builtinId="0"/>
    <cellStyle name="Запятая" xfId="1" builtinId="3"/>
    <cellStyle name="Денежный" xfId="2" builtinId="4"/>
    <cellStyle name="Процент" xfId="3" builtinId="5"/>
    <cellStyle name="Запятая [0]" xfId="4" builtinId="6"/>
    <cellStyle name="Денежный [0]" xfId="5" builtinId="7"/>
    <cellStyle name="Гиперссылка" xfId="6" builtinId="8"/>
    <cellStyle name="Открывавшаяся гиперссылка" xfId="7" builtinId="9"/>
    <cellStyle name="Примечание" xfId="8" builtinId="10"/>
    <cellStyle name="Предупреждающий текст" xfId="9" builtinId="11"/>
    <cellStyle name="Заголовок" xfId="10" builtinId="15"/>
    <cellStyle name="Пояснительный текст" xfId="11" builtinId="53"/>
    <cellStyle name="Заголовок 1" xfId="12" builtinId="16"/>
    <cellStyle name="Заголовок 2" xfId="13" builtinId="17"/>
    <cellStyle name="Заголовок 3" xfId="14" builtinId="18"/>
    <cellStyle name="Заголовок 4" xfId="15" builtinId="19"/>
    <cellStyle name="Ввод" xfId="16" builtinId="20"/>
    <cellStyle name="Вывод" xfId="17" builtinId="21"/>
    <cellStyle name="Вычисление" xfId="18" builtinId="22"/>
    <cellStyle name="Проверить ячейку" xfId="19" builtinId="23"/>
    <cellStyle name="Связанная ячейка" xfId="20" builtinId="24"/>
    <cellStyle name="Итого" xfId="21" builtinId="25"/>
    <cellStyle name="Хороший" xfId="22" builtinId="26"/>
    <cellStyle name="Плохой" xfId="23" builtinId="27"/>
    <cellStyle name="Нейтральный" xfId="24" builtinId="28"/>
    <cellStyle name="Акцент1" xfId="25" builtinId="29"/>
    <cellStyle name="20% — Акцент1" xfId="26" builtinId="30"/>
    <cellStyle name="40% — Акцент1" xfId="27" builtinId="31"/>
    <cellStyle name="60% — Акцент1" xfId="28" builtinId="32"/>
    <cellStyle name="Акцент2" xfId="29" builtinId="33"/>
    <cellStyle name="20% — Акцент2" xfId="30" builtinId="34"/>
    <cellStyle name="40% — Акцент2" xfId="31" builtinId="35"/>
    <cellStyle name="60% — Акцент2" xfId="32" builtinId="36"/>
    <cellStyle name="Акцент3" xfId="33" builtinId="37"/>
    <cellStyle name="20% — Акцент3" xfId="34" builtinId="38"/>
    <cellStyle name="40% — Акцент3" xfId="35" builtinId="39"/>
    <cellStyle name="60% — Акцент3" xfId="36" builtinId="40"/>
    <cellStyle name="Акцент4" xfId="37" builtinId="41"/>
    <cellStyle name="20% — Акцент4" xfId="38" builtinId="42"/>
    <cellStyle name="40% — Акцент4" xfId="39" builtinId="43"/>
    <cellStyle name="60% — Акцент4" xfId="40" builtinId="44"/>
    <cellStyle name="Акцент5" xfId="41" builtinId="45"/>
    <cellStyle name="20% — Акцент5" xfId="42" builtinId="46"/>
    <cellStyle name="40% — Акцент5" xfId="43" builtinId="47"/>
    <cellStyle name="60% — Акцент5" xfId="44" builtinId="48"/>
    <cellStyle name="Акцент6" xfId="45" builtinId="49"/>
    <cellStyle name="20% — Акцент6" xfId="46" builtinId="50"/>
    <cellStyle name="40% — Акцент6" xfId="47" builtinId="51"/>
    <cellStyle name="60% — Акцент6" xfId="48" builtinId="52"/>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openxmlformats.org/officeDocument/2006/relationships/styles" Target="styles.xml"/><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3" Type="http://schemas.openxmlformats.org/officeDocument/2006/relationships/hyperlink" Target="mailto:mail@qzsu.by" TargetMode="External"/><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Лист1">
    <tabColor indexed="41"/>
  </sheetPr>
  <dimension ref="A1:BL111"/>
  <sheetViews>
    <sheetView tabSelected="1" view="pageBreakPreview" zoomScaleNormal="100" topLeftCell="A39" workbookViewId="0">
      <selection activeCell="AL52" sqref="AL52:AQ52"/>
    </sheetView>
  </sheetViews>
  <sheetFormatPr defaultColWidth="2.57407407407407" defaultRowHeight="15.6"/>
  <cols>
    <col min="1" max="3" width="2.57407407407407" style="39"/>
    <col min="4" max="4" width="3.71296296296296" style="39" customWidth="1"/>
    <col min="5" max="7" width="2.57407407407407" style="39"/>
    <col min="8" max="8" width="3.42592592592593" style="39" customWidth="1"/>
    <col min="9" max="9" width="2.57407407407407" style="39"/>
    <col min="10" max="10" width="1.28703703703704" style="39" customWidth="1"/>
    <col min="11" max="11" width="2.85185185185185" style="39" customWidth="1"/>
    <col min="12" max="12" width="3.28703703703704" style="39" customWidth="1"/>
    <col min="13" max="13" width="2.57407407407407" style="39"/>
    <col min="14" max="14" width="3.71296296296296" style="39" customWidth="1"/>
    <col min="15" max="15" width="4.28703703703704" style="39" customWidth="1"/>
    <col min="16" max="16" width="3.57407407407407" style="39" customWidth="1"/>
    <col min="17" max="17" width="4.28703703703704" style="39" customWidth="1"/>
    <col min="18" max="18" width="2.28703703703704" style="39" customWidth="1"/>
    <col min="19" max="19" width="2.71296296296296" style="39" customWidth="1"/>
    <col min="20" max="20" width="2.85185185185185" style="39" customWidth="1"/>
    <col min="21" max="21" width="3.13888888888889" style="39" customWidth="1"/>
    <col min="22" max="22" width="2.28703703703704" style="39" customWidth="1"/>
    <col min="23" max="23" width="2.42592592592593" style="39" customWidth="1"/>
    <col min="24" max="24" width="3.13888888888889" style="39" customWidth="1"/>
    <col min="25" max="25" width="4.28703703703704" style="39" customWidth="1"/>
    <col min="26" max="26" width="2.28703703703704" style="39" customWidth="1"/>
    <col min="27" max="28" width="1.85185185185185" style="39" customWidth="1"/>
    <col min="29" max="29" width="2.85185185185185" style="39" customWidth="1"/>
    <col min="30" max="30" width="1.85185185185185" style="39" customWidth="1"/>
    <col min="31" max="31" width="2.13888888888889" style="39" customWidth="1"/>
    <col min="32" max="32" width="3.28703703703704" style="39" customWidth="1"/>
    <col min="33" max="34" width="2.13888888888889" style="39" customWidth="1"/>
    <col min="35" max="35" width="3.28703703703704" style="39" customWidth="1"/>
    <col min="36" max="36" width="4.13888888888889" style="39" customWidth="1"/>
    <col min="37" max="37" width="3.13888888888889" style="39" customWidth="1"/>
    <col min="38" max="38" width="2.57407407407407" style="39"/>
    <col min="39" max="39" width="4" style="39" customWidth="1"/>
    <col min="40" max="40" width="3.57407407407407" style="39" customWidth="1"/>
    <col min="41" max="41" width="2.71296296296296" style="39" customWidth="1"/>
    <col min="42" max="42" width="2.85185185185185" style="39" customWidth="1"/>
    <col min="43" max="43" width="2.71296296296296" style="39" customWidth="1"/>
    <col min="44" max="44" width="3.42592592592593" style="39" customWidth="1"/>
    <col min="45" max="45" width="2.42592592592593" style="39" customWidth="1"/>
    <col min="46" max="46" width="3.71296296296296" style="39" customWidth="1"/>
    <col min="47" max="47" width="2.57407407407407" style="39" customWidth="1"/>
    <col min="48" max="48" width="2.57407407407407" style="39"/>
    <col min="49" max="49" width="1.85185185185185" style="39" customWidth="1"/>
    <col min="50" max="50" width="2.57407407407407" style="39"/>
    <col min="51" max="51" width="2.28703703703704" style="39" customWidth="1"/>
    <col min="52" max="61" width="2.57407407407407" style="39"/>
    <col min="62" max="62" width="4.28703703703704" style="39" customWidth="1"/>
    <col min="63" max="16384" width="2.57407407407407" style="39"/>
  </cols>
  <sheetData>
    <row r="1" ht="9" customHeight="1"/>
    <row r="2" ht="18" customHeight="1" spans="1:51">
      <c r="A2" s="40" t="s">
        <v>0</v>
      </c>
      <c r="B2" s="40"/>
      <c r="C2" s="40"/>
      <c r="D2" s="40"/>
      <c r="E2" s="40"/>
      <c r="F2" s="40"/>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row>
    <row r="3" s="31" customFormat="1" ht="27" customHeight="1" spans="1:64">
      <c r="A3" s="41"/>
      <c r="B3" s="41"/>
      <c r="C3" s="41"/>
      <c r="D3" s="41"/>
      <c r="E3" s="41"/>
      <c r="F3" s="41"/>
      <c r="G3" s="41"/>
      <c r="H3" s="41"/>
      <c r="I3" s="41"/>
      <c r="J3" s="41"/>
      <c r="K3" s="41"/>
      <c r="L3" s="41"/>
      <c r="M3" s="41"/>
      <c r="N3" s="41"/>
      <c r="O3" s="41"/>
      <c r="P3" s="41"/>
      <c r="Q3" s="87"/>
      <c r="R3" s="87"/>
      <c r="S3" s="87"/>
      <c r="T3" s="87"/>
      <c r="U3" s="87"/>
      <c r="V3" s="87"/>
      <c r="W3" s="87"/>
      <c r="X3" s="87"/>
      <c r="Y3" s="87"/>
      <c r="Z3" s="87"/>
      <c r="AA3" s="87"/>
      <c r="AB3" s="87"/>
      <c r="AC3" s="87"/>
      <c r="AD3" s="87"/>
      <c r="AE3" s="87"/>
      <c r="AF3" s="87"/>
      <c r="AG3" s="87"/>
      <c r="AH3" s="87"/>
      <c r="AI3" s="87"/>
      <c r="AJ3" s="87"/>
      <c r="AK3" s="87"/>
      <c r="AL3" s="87"/>
      <c r="AM3" s="87"/>
      <c r="AN3" s="119"/>
      <c r="AO3" s="119"/>
      <c r="AP3" s="230" t="s">
        <v>1</v>
      </c>
      <c r="AQ3" s="135"/>
      <c r="AR3" s="135"/>
      <c r="AS3" s="135"/>
      <c r="AT3" s="135"/>
      <c r="AU3" s="135"/>
      <c r="AV3" s="135"/>
      <c r="AW3" s="135"/>
      <c r="AX3" s="135"/>
      <c r="AY3" s="135"/>
      <c r="BA3" s="21" t="s">
        <v>2</v>
      </c>
      <c r="BB3" s="21"/>
      <c r="BC3" s="21"/>
      <c r="BD3" s="21"/>
      <c r="BE3" s="21"/>
      <c r="BF3" s="21"/>
      <c r="BG3" s="21"/>
      <c r="BH3" s="21"/>
      <c r="BI3" s="21"/>
      <c r="BJ3" s="21"/>
      <c r="BK3" s="21"/>
      <c r="BL3" s="161"/>
    </row>
    <row r="4" s="31" customFormat="1" ht="13.8" spans="1:64">
      <c r="A4" s="4"/>
      <c r="B4" s="42"/>
      <c r="C4" s="42"/>
      <c r="D4" s="42"/>
      <c r="E4" s="42"/>
      <c r="F4" s="42"/>
      <c r="G4" s="42"/>
      <c r="H4" s="41"/>
      <c r="I4" s="41"/>
      <c r="J4" s="41"/>
      <c r="K4" s="41"/>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120"/>
      <c r="AO4" s="120"/>
      <c r="AP4" s="135"/>
      <c r="AQ4" s="135"/>
      <c r="AR4" s="135"/>
      <c r="AS4" s="135"/>
      <c r="AT4" s="135"/>
      <c r="AU4" s="135"/>
      <c r="AV4" s="135"/>
      <c r="AW4" s="135"/>
      <c r="AX4" s="135"/>
      <c r="AY4" s="135"/>
      <c r="BA4" s="21"/>
      <c r="BB4" s="21"/>
      <c r="BC4" s="21"/>
      <c r="BD4" s="21"/>
      <c r="BE4" s="21"/>
      <c r="BF4" s="21"/>
      <c r="BG4" s="21"/>
      <c r="BH4" s="21"/>
      <c r="BI4" s="21"/>
      <c r="BJ4" s="21"/>
      <c r="BK4" s="21"/>
      <c r="BL4" s="161"/>
    </row>
    <row r="5" s="31" customFormat="1" ht="13.8" spans="1:64">
      <c r="A5" s="4"/>
      <c r="B5" s="43"/>
      <c r="C5" s="42"/>
      <c r="D5" s="42"/>
      <c r="E5" s="42"/>
      <c r="F5" s="42"/>
      <c r="G5" s="42"/>
      <c r="H5" s="41"/>
      <c r="I5" s="41"/>
      <c r="J5" s="41"/>
      <c r="K5" s="41"/>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120"/>
      <c r="AO5" s="120"/>
      <c r="AP5" s="135"/>
      <c r="AQ5" s="135"/>
      <c r="AR5" s="135"/>
      <c r="AS5" s="135"/>
      <c r="AT5" s="135"/>
      <c r="AU5" s="135"/>
      <c r="AV5" s="135"/>
      <c r="AW5" s="135"/>
      <c r="AX5" s="135"/>
      <c r="AY5" s="135"/>
      <c r="BA5" s="21"/>
      <c r="BB5" s="21"/>
      <c r="BC5" s="21"/>
      <c r="BD5" s="21"/>
      <c r="BE5" s="21"/>
      <c r="BF5" s="21"/>
      <c r="BG5" s="21"/>
      <c r="BH5" s="21"/>
      <c r="BI5" s="21"/>
      <c r="BJ5" s="21"/>
      <c r="BK5" s="21"/>
      <c r="BL5" s="161"/>
    </row>
    <row r="6" s="31" customFormat="1" ht="13.8" spans="1:64">
      <c r="A6" s="4"/>
      <c r="B6" s="43"/>
      <c r="C6" s="42"/>
      <c r="D6" s="42"/>
      <c r="E6" s="42"/>
      <c r="F6" s="42"/>
      <c r="G6" s="42"/>
      <c r="H6" s="41"/>
      <c r="I6" s="41"/>
      <c r="J6" s="41"/>
      <c r="K6" s="41"/>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120"/>
      <c r="AO6" s="120"/>
      <c r="AP6" s="135"/>
      <c r="AQ6" s="135"/>
      <c r="AR6" s="135"/>
      <c r="AS6" s="135"/>
      <c r="AT6" s="135"/>
      <c r="AU6" s="135"/>
      <c r="AV6" s="135"/>
      <c r="AW6" s="135"/>
      <c r="AX6" s="135"/>
      <c r="AY6" s="135"/>
      <c r="BA6" s="21"/>
      <c r="BB6" s="21"/>
      <c r="BC6" s="21"/>
      <c r="BD6" s="21"/>
      <c r="BE6" s="21"/>
      <c r="BF6" s="21"/>
      <c r="BG6" s="21"/>
      <c r="BH6" s="21"/>
      <c r="BI6" s="21"/>
      <c r="BJ6" s="21"/>
      <c r="BK6" s="21"/>
      <c r="BL6" s="161"/>
    </row>
    <row r="7" s="31" customFormat="1" ht="9" customHeight="1" spans="1:64">
      <c r="A7" s="42"/>
      <c r="B7" s="42"/>
      <c r="C7" s="42"/>
      <c r="D7" s="42"/>
      <c r="E7" s="42"/>
      <c r="F7" s="42"/>
      <c r="G7" s="42"/>
      <c r="H7" s="42"/>
      <c r="I7" s="42"/>
      <c r="J7" s="42"/>
      <c r="K7" s="42"/>
      <c r="L7" s="42"/>
      <c r="M7" s="42"/>
      <c r="N7" s="42"/>
      <c r="O7" s="87"/>
      <c r="P7" s="87"/>
      <c r="Q7" s="87"/>
      <c r="R7" s="87"/>
      <c r="S7" s="87"/>
      <c r="T7" s="87"/>
      <c r="U7" s="87"/>
      <c r="V7" s="87"/>
      <c r="W7" s="87"/>
      <c r="X7" s="87"/>
      <c r="Y7" s="87"/>
      <c r="Z7" s="87"/>
      <c r="AA7" s="87"/>
      <c r="AB7" s="87"/>
      <c r="AC7" s="87"/>
      <c r="AD7" s="87"/>
      <c r="AE7" s="87"/>
      <c r="AF7" s="87"/>
      <c r="AG7" s="87"/>
      <c r="AH7" s="87"/>
      <c r="AI7" s="87"/>
      <c r="AJ7" s="87"/>
      <c r="AK7" s="87"/>
      <c r="AL7" s="87"/>
      <c r="AM7" s="87"/>
      <c r="AN7" s="121"/>
      <c r="AO7" s="136"/>
      <c r="AP7" s="137"/>
      <c r="AQ7" s="137"/>
      <c r="AR7" s="137"/>
      <c r="AS7" s="137"/>
      <c r="AT7" s="137"/>
      <c r="AU7" s="137"/>
      <c r="AV7" s="137"/>
      <c r="AW7" s="137"/>
      <c r="AX7" s="137"/>
      <c r="AY7" s="137"/>
      <c r="BA7" s="21"/>
      <c r="BB7" s="21"/>
      <c r="BC7" s="21"/>
      <c r="BD7" s="21"/>
      <c r="BE7" s="21"/>
      <c r="BF7" s="21"/>
      <c r="BG7" s="21"/>
      <c r="BH7" s="21"/>
      <c r="BI7" s="21"/>
      <c r="BJ7" s="21"/>
      <c r="BK7" s="21"/>
      <c r="BL7" s="161"/>
    </row>
    <row r="8" s="31" customFormat="1" ht="13.8" spans="1:64">
      <c r="A8" s="231" t="s">
        <v>3</v>
      </c>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155"/>
      <c r="BA8" s="21"/>
      <c r="BB8" s="21"/>
      <c r="BC8" s="21"/>
      <c r="BD8" s="21"/>
      <c r="BE8" s="21"/>
      <c r="BF8" s="21"/>
      <c r="BG8" s="21"/>
      <c r="BH8" s="21"/>
      <c r="BI8" s="21"/>
      <c r="BJ8" s="21"/>
      <c r="BK8" s="21"/>
      <c r="BL8" s="161"/>
    </row>
    <row r="9" s="31" customFormat="1" ht="12.75" customHeight="1" spans="1:63">
      <c r="A9" s="46"/>
      <c r="B9" s="46"/>
      <c r="C9" s="46"/>
      <c r="D9" s="46"/>
      <c r="E9" s="46"/>
      <c r="F9" s="46"/>
      <c r="G9" s="46"/>
      <c r="H9" s="46"/>
      <c r="I9" s="46"/>
      <c r="J9" s="46"/>
      <c r="K9" s="46"/>
      <c r="L9" s="46"/>
      <c r="M9" s="46"/>
      <c r="N9" s="42"/>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BA9" s="21"/>
      <c r="BB9" s="21"/>
      <c r="BC9" s="21"/>
      <c r="BD9" s="21"/>
      <c r="BE9" s="21"/>
      <c r="BF9" s="21"/>
      <c r="BG9" s="21"/>
      <c r="BH9" s="21"/>
      <c r="BI9" s="21"/>
      <c r="BJ9" s="21"/>
      <c r="BK9" s="21"/>
    </row>
    <row r="10" s="31" customFormat="1" ht="13.8" spans="1:63">
      <c r="A10" s="44" t="s">
        <v>4</v>
      </c>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155"/>
      <c r="BA10" s="21"/>
      <c r="BB10" s="21"/>
      <c r="BC10" s="21"/>
      <c r="BD10" s="21"/>
      <c r="BE10" s="21"/>
      <c r="BF10" s="21"/>
      <c r="BG10" s="21"/>
      <c r="BH10" s="21"/>
      <c r="BI10" s="21"/>
      <c r="BJ10" s="21"/>
      <c r="BK10" s="21"/>
    </row>
    <row r="11" s="31" customFormat="1" ht="12.75" customHeight="1" spans="1:63">
      <c r="A11" s="42"/>
      <c r="B11" s="42"/>
      <c r="C11" s="42"/>
      <c r="D11" s="42"/>
      <c r="E11" s="42"/>
      <c r="F11" s="42"/>
      <c r="G11" s="42"/>
      <c r="H11" s="42"/>
      <c r="I11" s="42"/>
      <c r="J11" s="42"/>
      <c r="K11" s="42"/>
      <c r="L11" s="42"/>
      <c r="M11" s="42"/>
      <c r="N11" s="42"/>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BA11" s="21"/>
      <c r="BB11" s="21"/>
      <c r="BC11" s="21"/>
      <c r="BD11" s="21"/>
      <c r="BE11" s="21"/>
      <c r="BF11" s="21"/>
      <c r="BG11" s="21"/>
      <c r="BH11" s="21"/>
      <c r="BI11" s="21"/>
      <c r="BJ11" s="21"/>
      <c r="BK11" s="21"/>
    </row>
    <row r="12" s="31" customFormat="1" ht="27" customHeight="1" spans="1:63">
      <c r="A12" s="44" t="s">
        <v>5</v>
      </c>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155"/>
      <c r="BA12" s="21"/>
      <c r="BB12" s="21"/>
      <c r="BC12" s="21"/>
      <c r="BD12" s="21"/>
      <c r="BE12" s="21"/>
      <c r="BF12" s="21"/>
      <c r="BG12" s="21"/>
      <c r="BH12" s="21"/>
      <c r="BI12" s="21"/>
      <c r="BJ12" s="21"/>
      <c r="BK12" s="21"/>
    </row>
    <row r="13" s="31" customFormat="1" ht="12.75" customHeight="1" spans="1:63">
      <c r="A13" s="47"/>
      <c r="B13" s="47"/>
      <c r="C13" s="47"/>
      <c r="D13" s="42"/>
      <c r="E13" s="42"/>
      <c r="F13" s="42"/>
      <c r="G13" s="42"/>
      <c r="H13" s="42"/>
      <c r="I13" s="42"/>
      <c r="J13" s="42"/>
      <c r="K13" s="42"/>
      <c r="L13" s="42"/>
      <c r="M13" s="42"/>
      <c r="N13" s="42"/>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BA13" s="21"/>
      <c r="BB13" s="21"/>
      <c r="BC13" s="21"/>
      <c r="BD13" s="21"/>
      <c r="BE13" s="21"/>
      <c r="BF13" s="21"/>
      <c r="BG13" s="21"/>
      <c r="BH13" s="21"/>
      <c r="BI13" s="21"/>
      <c r="BJ13" s="21"/>
      <c r="BK13" s="21"/>
    </row>
    <row r="14" s="31" customFormat="1" ht="13.8" spans="1:63">
      <c r="A14" s="48"/>
      <c r="B14" s="49"/>
      <c r="C14" s="49"/>
      <c r="D14" s="49"/>
      <c r="E14" s="50"/>
      <c r="F14" s="50"/>
      <c r="G14" s="50"/>
      <c r="H14" s="50"/>
      <c r="I14" s="88"/>
      <c r="J14" s="89"/>
      <c r="K14" s="89"/>
      <c r="L14" s="89"/>
      <c r="M14" s="89"/>
      <c r="N14" s="90"/>
      <c r="O14" s="91"/>
      <c r="P14" s="91"/>
      <c r="Q14" s="89"/>
      <c r="R14" s="107"/>
      <c r="S14" s="89"/>
      <c r="T14" s="89"/>
      <c r="U14" s="89"/>
      <c r="V14" s="108" t="s">
        <v>6</v>
      </c>
      <c r="W14" s="108"/>
      <c r="X14" s="108"/>
      <c r="Y14" s="108"/>
      <c r="Z14" s="108"/>
      <c r="AA14" s="108"/>
      <c r="AB14" s="108"/>
      <c r="AC14" s="108"/>
      <c r="AD14" s="89"/>
      <c r="AE14" s="89"/>
      <c r="AF14" s="89"/>
      <c r="AG14" s="89"/>
      <c r="AH14" s="89"/>
      <c r="AI14" s="89"/>
      <c r="AJ14" s="89"/>
      <c r="AK14" s="91"/>
      <c r="AL14" s="91"/>
      <c r="AM14" s="91"/>
      <c r="AN14" s="91"/>
      <c r="AO14" s="91"/>
      <c r="AP14" s="138"/>
      <c r="AQ14" s="50"/>
      <c r="AR14" s="50"/>
      <c r="AS14" s="50"/>
      <c r="AT14" s="50"/>
      <c r="AU14" s="50"/>
      <c r="AV14" s="50"/>
      <c r="AW14" s="50"/>
      <c r="AX14" s="50"/>
      <c r="AY14" s="50"/>
      <c r="BA14" s="21"/>
      <c r="BB14" s="21"/>
      <c r="BC14" s="21"/>
      <c r="BD14" s="21"/>
      <c r="BE14" s="21"/>
      <c r="BF14" s="21"/>
      <c r="BG14" s="21"/>
      <c r="BH14" s="21"/>
      <c r="BI14" s="21"/>
      <c r="BJ14" s="21"/>
      <c r="BK14" s="21"/>
    </row>
    <row r="15" s="31" customFormat="1" ht="13.8" spans="1:63">
      <c r="A15" s="51"/>
      <c r="B15" s="49"/>
      <c r="C15" s="49"/>
      <c r="D15" s="49"/>
      <c r="E15" s="49"/>
      <c r="F15" s="49"/>
      <c r="G15" s="49"/>
      <c r="H15" s="49"/>
      <c r="I15" s="92"/>
      <c r="J15" s="49"/>
      <c r="K15" s="49"/>
      <c r="L15" s="49"/>
      <c r="M15" s="49"/>
      <c r="N15" s="49"/>
      <c r="O15" s="49"/>
      <c r="P15" s="49"/>
      <c r="Q15" s="49"/>
      <c r="R15" s="109" t="s">
        <v>7</v>
      </c>
      <c r="S15" s="109"/>
      <c r="T15" s="109"/>
      <c r="U15" s="109"/>
      <c r="V15" s="109"/>
      <c r="W15" s="109"/>
      <c r="X15" s="109"/>
      <c r="Y15" s="109"/>
      <c r="Z15" s="109"/>
      <c r="AA15" s="109"/>
      <c r="AB15" s="109"/>
      <c r="AC15" s="109"/>
      <c r="AD15" s="109"/>
      <c r="AE15" s="109"/>
      <c r="AF15" s="109"/>
      <c r="AG15" s="49"/>
      <c r="AH15" s="49"/>
      <c r="AI15" s="49"/>
      <c r="AJ15" s="49"/>
      <c r="AK15" s="49"/>
      <c r="AL15" s="49"/>
      <c r="AM15" s="49"/>
      <c r="AN15" s="49"/>
      <c r="AO15" s="49"/>
      <c r="AP15" s="139"/>
      <c r="AQ15" s="49"/>
      <c r="AR15" s="49"/>
      <c r="AS15" s="49"/>
      <c r="AT15" s="49"/>
      <c r="AU15" s="49"/>
      <c r="AV15" s="49"/>
      <c r="AW15" s="49"/>
      <c r="AX15" s="49"/>
      <c r="AY15" s="49"/>
      <c r="BA15" s="21"/>
      <c r="BB15" s="21"/>
      <c r="BC15" s="21"/>
      <c r="BD15" s="21"/>
      <c r="BE15" s="21"/>
      <c r="BF15" s="21"/>
      <c r="BG15" s="21"/>
      <c r="BH15" s="21"/>
      <c r="BI15" s="21"/>
      <c r="BJ15" s="21"/>
      <c r="BK15" s="21"/>
    </row>
    <row r="16" s="32" customFormat="1" spans="1:63">
      <c r="A16" s="52"/>
      <c r="B16" s="53"/>
      <c r="C16" s="54"/>
      <c r="D16" s="54"/>
      <c r="E16" s="54"/>
      <c r="F16" s="54"/>
      <c r="G16" s="54"/>
      <c r="H16" s="54"/>
      <c r="I16" s="93"/>
      <c r="J16" s="54"/>
      <c r="K16" s="54"/>
      <c r="L16" s="54"/>
      <c r="M16" s="54"/>
      <c r="N16" s="54"/>
      <c r="O16" s="54"/>
      <c r="P16" s="54"/>
      <c r="Q16" s="110" t="s">
        <v>8</v>
      </c>
      <c r="R16" s="110"/>
      <c r="S16" s="110"/>
      <c r="T16" s="110"/>
      <c r="U16" s="110"/>
      <c r="V16" s="110"/>
      <c r="W16" s="110"/>
      <c r="X16" s="110"/>
      <c r="Y16" s="114" t="s">
        <v>9</v>
      </c>
      <c r="Z16" s="114"/>
      <c r="AA16" s="114"/>
      <c r="AB16" s="114"/>
      <c r="AC16" s="114"/>
      <c r="AD16" s="110">
        <v>20</v>
      </c>
      <c r="AE16" s="110"/>
      <c r="AF16" s="115">
        <v>25</v>
      </c>
      <c r="AG16" s="122" t="s">
        <v>10</v>
      </c>
      <c r="AH16" s="122"/>
      <c r="AI16" s="122"/>
      <c r="AJ16" s="122"/>
      <c r="AK16" s="54"/>
      <c r="AL16" s="54"/>
      <c r="AM16" s="54"/>
      <c r="AN16" s="54"/>
      <c r="AO16" s="54"/>
      <c r="AP16" s="140"/>
      <c r="AQ16" s="54"/>
      <c r="AR16" s="54"/>
      <c r="AS16" s="54"/>
      <c r="AT16" s="54"/>
      <c r="AU16" s="54"/>
      <c r="AV16" s="54"/>
      <c r="AW16" s="54"/>
      <c r="AX16" s="54"/>
      <c r="AY16" s="54"/>
      <c r="BA16" s="21"/>
      <c r="BB16" s="21"/>
      <c r="BC16" s="21"/>
      <c r="BD16" s="21"/>
      <c r="BE16" s="21"/>
      <c r="BF16" s="21"/>
      <c r="BG16" s="21"/>
      <c r="BH16" s="21"/>
      <c r="BI16" s="21"/>
      <c r="BJ16" s="21"/>
      <c r="BK16" s="21"/>
    </row>
    <row r="17" s="33" customFormat="1" ht="12" spans="1:63">
      <c r="A17" s="55"/>
      <c r="B17" s="56"/>
      <c r="C17" s="56"/>
      <c r="D17" s="56"/>
      <c r="E17" s="56"/>
      <c r="F17" s="56"/>
      <c r="G17" s="56"/>
      <c r="H17" s="56"/>
      <c r="I17" s="94"/>
      <c r="J17" s="95"/>
      <c r="K17" s="95"/>
      <c r="L17" s="95"/>
      <c r="M17" s="95"/>
      <c r="N17" s="95"/>
      <c r="O17" s="96"/>
      <c r="P17" s="96"/>
      <c r="Q17" s="96"/>
      <c r="R17" s="96"/>
      <c r="S17" s="96"/>
      <c r="T17" s="96"/>
      <c r="U17" s="96"/>
      <c r="V17" s="96"/>
      <c r="W17" s="96"/>
      <c r="X17" s="96"/>
      <c r="Y17" s="116" t="s">
        <v>11</v>
      </c>
      <c r="Z17" s="116"/>
      <c r="AA17" s="116"/>
      <c r="AB17" s="116"/>
      <c r="AC17" s="116"/>
      <c r="AD17" s="96"/>
      <c r="AE17" s="96"/>
      <c r="AF17" s="96"/>
      <c r="AG17" s="96"/>
      <c r="AH17" s="96"/>
      <c r="AI17" s="96"/>
      <c r="AJ17" s="96"/>
      <c r="AK17" s="96"/>
      <c r="AL17" s="96"/>
      <c r="AM17" s="96"/>
      <c r="AN17" s="96"/>
      <c r="AO17" s="96"/>
      <c r="AP17" s="141"/>
      <c r="AQ17" s="142"/>
      <c r="AR17" s="142"/>
      <c r="AS17" s="142"/>
      <c r="AT17" s="142"/>
      <c r="AU17" s="142"/>
      <c r="AV17" s="142"/>
      <c r="AW17" s="142"/>
      <c r="AX17" s="142"/>
      <c r="AY17" s="142"/>
      <c r="BA17" s="21"/>
      <c r="BB17" s="21"/>
      <c r="BC17" s="21"/>
      <c r="BD17" s="21"/>
      <c r="BE17" s="21"/>
      <c r="BF17" s="21"/>
      <c r="BG17" s="21"/>
      <c r="BH17" s="21"/>
      <c r="BI17" s="21"/>
      <c r="BJ17" s="21"/>
      <c r="BK17" s="21"/>
    </row>
    <row r="18" s="34" customFormat="1" ht="12.75" customHeight="1" spans="1:51">
      <c r="A18" s="57"/>
      <c r="B18" s="58"/>
      <c r="C18" s="58"/>
      <c r="D18" s="58"/>
      <c r="E18" s="58"/>
      <c r="F18" s="58"/>
      <c r="G18" s="58"/>
      <c r="H18" s="58"/>
      <c r="I18" s="58"/>
      <c r="J18" s="58"/>
      <c r="K18" s="58"/>
      <c r="L18" s="58"/>
      <c r="M18" s="58"/>
      <c r="N18" s="58"/>
      <c r="O18" s="97"/>
      <c r="P18" s="97"/>
      <c r="Q18" s="97"/>
      <c r="R18" s="97"/>
      <c r="S18" s="97"/>
      <c r="T18" s="97"/>
      <c r="U18" s="97"/>
      <c r="V18" s="97"/>
      <c r="W18" s="97"/>
      <c r="X18" s="97"/>
      <c r="Y18" s="58"/>
      <c r="Z18" s="58"/>
      <c r="AA18" s="58"/>
      <c r="AB18" s="58"/>
      <c r="AC18" s="58"/>
      <c r="AD18" s="97"/>
      <c r="AE18" s="97"/>
      <c r="AF18" s="97"/>
      <c r="AG18" s="97"/>
      <c r="AH18" s="97"/>
      <c r="AI18" s="97"/>
      <c r="AJ18" s="97"/>
      <c r="AK18" s="97"/>
      <c r="AL18" s="97"/>
      <c r="AM18" s="97"/>
      <c r="AN18" s="97"/>
      <c r="AO18" s="97"/>
      <c r="AP18" s="97"/>
      <c r="AQ18" s="97"/>
      <c r="AR18" s="97"/>
      <c r="AS18" s="97"/>
      <c r="AT18" s="97"/>
      <c r="AU18" s="97"/>
      <c r="AV18" s="97"/>
      <c r="AW18" s="97"/>
      <c r="AX18" s="97"/>
      <c r="AY18" s="97"/>
    </row>
    <row r="19" s="31" customFormat="1" ht="13.8" spans="1:51">
      <c r="A19" s="59" t="s">
        <v>12</v>
      </c>
      <c r="B19" s="59"/>
      <c r="C19" s="59"/>
      <c r="D19" s="59"/>
      <c r="E19" s="59"/>
      <c r="F19" s="59"/>
      <c r="G19" s="59"/>
      <c r="H19" s="59"/>
      <c r="I19" s="59"/>
      <c r="J19" s="59"/>
      <c r="K19" s="59"/>
      <c r="L19" s="59"/>
      <c r="M19" s="59"/>
      <c r="N19" s="59"/>
      <c r="O19" s="59"/>
      <c r="P19" s="59"/>
      <c r="Q19" s="59"/>
      <c r="R19" s="59"/>
      <c r="S19" s="59"/>
      <c r="T19" s="59"/>
      <c r="U19" s="59"/>
      <c r="V19" s="59"/>
      <c r="W19" s="59"/>
      <c r="X19" s="59"/>
      <c r="Y19" s="59"/>
      <c r="Z19" s="59"/>
      <c r="AA19" s="59"/>
      <c r="AB19" s="59"/>
      <c r="AC19" s="59"/>
      <c r="AD19" s="59"/>
      <c r="AE19" s="59"/>
      <c r="AF19" s="59"/>
      <c r="AG19" s="59"/>
      <c r="AH19" s="59" t="s">
        <v>13</v>
      </c>
      <c r="AI19" s="59"/>
      <c r="AJ19" s="59"/>
      <c r="AK19" s="59"/>
      <c r="AL19" s="59"/>
      <c r="AM19" s="59"/>
      <c r="AN19" s="59"/>
      <c r="AO19" s="143"/>
      <c r="AP19" s="44" t="s">
        <v>14</v>
      </c>
      <c r="AQ19" s="45"/>
      <c r="AR19" s="45"/>
      <c r="AS19" s="45"/>
      <c r="AT19" s="45"/>
      <c r="AU19" s="45"/>
      <c r="AV19" s="45"/>
      <c r="AW19" s="45"/>
      <c r="AX19" s="45"/>
      <c r="AY19" s="155"/>
    </row>
    <row r="20" s="31" customFormat="1" ht="13.8" spans="1:51">
      <c r="A20" s="60" t="s">
        <v>15</v>
      </c>
      <c r="B20" s="60"/>
      <c r="C20" s="60"/>
      <c r="D20" s="60"/>
      <c r="E20" s="60"/>
      <c r="F20" s="60"/>
      <c r="G20" s="60"/>
      <c r="H20" s="60"/>
      <c r="I20" s="60"/>
      <c r="J20" s="60"/>
      <c r="K20" s="60"/>
      <c r="L20" s="60"/>
      <c r="M20" s="60"/>
      <c r="N20" s="60"/>
      <c r="O20" s="60"/>
      <c r="P20" s="60"/>
      <c r="Q20" s="60"/>
      <c r="R20" s="60"/>
      <c r="S20" s="60"/>
      <c r="T20" s="60"/>
      <c r="U20" s="60"/>
      <c r="V20" s="60"/>
      <c r="W20" s="60"/>
      <c r="X20" s="60"/>
      <c r="Y20" s="60"/>
      <c r="Z20" s="60"/>
      <c r="AA20" s="60"/>
      <c r="AB20" s="60"/>
      <c r="AC20" s="60"/>
      <c r="AD20" s="60"/>
      <c r="AE20" s="60"/>
      <c r="AF20" s="60"/>
      <c r="AG20" s="60"/>
      <c r="AH20" s="59" t="s">
        <v>16</v>
      </c>
      <c r="AI20" s="59"/>
      <c r="AJ20" s="59"/>
      <c r="AK20" s="59"/>
      <c r="AL20" s="59"/>
      <c r="AM20" s="59"/>
      <c r="AN20" s="59"/>
      <c r="AO20" s="144"/>
      <c r="AP20" s="232" t="s">
        <v>17</v>
      </c>
      <c r="AQ20" s="60"/>
      <c r="AR20" s="60"/>
      <c r="AS20" s="60"/>
      <c r="AT20" s="60"/>
      <c r="AU20" s="233" t="s">
        <v>18</v>
      </c>
      <c r="AV20" s="145"/>
      <c r="AW20" s="145"/>
      <c r="AX20" s="145"/>
      <c r="AY20" s="145"/>
    </row>
    <row r="21" s="31" customFormat="1" ht="13.8" spans="1:51">
      <c r="A21" s="60"/>
      <c r="B21" s="60"/>
      <c r="C21" s="60"/>
      <c r="D21" s="60"/>
      <c r="E21" s="60"/>
      <c r="F21" s="60"/>
      <c r="G21" s="60"/>
      <c r="H21" s="60"/>
      <c r="I21" s="60"/>
      <c r="J21" s="60"/>
      <c r="K21" s="60"/>
      <c r="L21" s="60"/>
      <c r="M21" s="60"/>
      <c r="N21" s="60"/>
      <c r="O21" s="60"/>
      <c r="P21" s="60"/>
      <c r="Q21" s="60"/>
      <c r="R21" s="60"/>
      <c r="S21" s="60"/>
      <c r="T21" s="60"/>
      <c r="U21" s="60"/>
      <c r="V21" s="60"/>
      <c r="W21" s="60"/>
      <c r="X21" s="60"/>
      <c r="Y21" s="60"/>
      <c r="Z21" s="60"/>
      <c r="AA21" s="60"/>
      <c r="AB21" s="60"/>
      <c r="AC21" s="60"/>
      <c r="AD21" s="60"/>
      <c r="AE21" s="60"/>
      <c r="AF21" s="60"/>
      <c r="AG21" s="60"/>
      <c r="AH21" s="59"/>
      <c r="AI21" s="59"/>
      <c r="AJ21" s="59"/>
      <c r="AK21" s="59"/>
      <c r="AL21" s="59"/>
      <c r="AM21" s="59"/>
      <c r="AN21" s="59"/>
      <c r="AO21" s="47"/>
      <c r="AP21" s="60"/>
      <c r="AQ21" s="60"/>
      <c r="AR21" s="60"/>
      <c r="AS21" s="60"/>
      <c r="AT21" s="60"/>
      <c r="AU21" s="145"/>
      <c r="AV21" s="145"/>
      <c r="AW21" s="145"/>
      <c r="AX21" s="145"/>
      <c r="AY21" s="145"/>
    </row>
    <row r="22" s="31" customFormat="1" ht="13.8" spans="1:51">
      <c r="A22" s="60"/>
      <c r="B22" s="60"/>
      <c r="C22" s="60"/>
      <c r="D22" s="60"/>
      <c r="E22" s="60"/>
      <c r="F22" s="60"/>
      <c r="G22" s="60"/>
      <c r="H22" s="60"/>
      <c r="I22" s="60"/>
      <c r="J22" s="60"/>
      <c r="K22" s="60"/>
      <c r="L22" s="60"/>
      <c r="M22" s="60"/>
      <c r="N22" s="60"/>
      <c r="O22" s="60"/>
      <c r="P22" s="60"/>
      <c r="Q22" s="60"/>
      <c r="R22" s="60"/>
      <c r="S22" s="60"/>
      <c r="T22" s="60"/>
      <c r="U22" s="60"/>
      <c r="V22" s="60"/>
      <c r="W22" s="60"/>
      <c r="X22" s="60"/>
      <c r="Y22" s="60"/>
      <c r="Z22" s="60"/>
      <c r="AA22" s="60"/>
      <c r="AB22" s="60"/>
      <c r="AC22" s="60"/>
      <c r="AD22" s="60"/>
      <c r="AE22" s="60"/>
      <c r="AF22" s="60"/>
      <c r="AG22" s="60"/>
      <c r="AH22" s="59"/>
      <c r="AI22" s="59"/>
      <c r="AJ22" s="59"/>
      <c r="AK22" s="59"/>
      <c r="AL22" s="59"/>
      <c r="AM22" s="59"/>
      <c r="AN22" s="59"/>
      <c r="AO22" s="144"/>
      <c r="AP22" s="146"/>
      <c r="AQ22" s="147"/>
      <c r="AR22" s="147"/>
      <c r="AS22" s="147"/>
      <c r="AT22" s="147"/>
      <c r="AU22" s="147"/>
      <c r="AV22" s="147"/>
      <c r="AW22" s="147"/>
      <c r="AX22" s="147"/>
      <c r="AY22" s="147"/>
    </row>
    <row r="23" s="31" customFormat="1" ht="13.8" spans="1:51">
      <c r="A23" s="60"/>
      <c r="B23" s="60"/>
      <c r="C23" s="60"/>
      <c r="D23" s="60"/>
      <c r="E23" s="60"/>
      <c r="F23" s="60"/>
      <c r="G23" s="60"/>
      <c r="H23" s="60"/>
      <c r="I23" s="60"/>
      <c r="J23" s="60"/>
      <c r="K23" s="60"/>
      <c r="L23" s="60"/>
      <c r="M23" s="60"/>
      <c r="N23" s="60"/>
      <c r="O23" s="60"/>
      <c r="P23" s="60"/>
      <c r="Q23" s="60"/>
      <c r="R23" s="60"/>
      <c r="S23" s="60"/>
      <c r="T23" s="60"/>
      <c r="U23" s="60"/>
      <c r="V23" s="60"/>
      <c r="W23" s="60"/>
      <c r="X23" s="60"/>
      <c r="Y23" s="60"/>
      <c r="Z23" s="60"/>
      <c r="AA23" s="60"/>
      <c r="AB23" s="60"/>
      <c r="AC23" s="60"/>
      <c r="AD23" s="60"/>
      <c r="AE23" s="60"/>
      <c r="AF23" s="60"/>
      <c r="AG23" s="60"/>
      <c r="AH23" s="59"/>
      <c r="AI23" s="59"/>
      <c r="AJ23" s="59"/>
      <c r="AK23" s="59"/>
      <c r="AL23" s="59"/>
      <c r="AM23" s="59"/>
      <c r="AN23" s="59"/>
      <c r="AO23" s="148"/>
      <c r="AP23" s="149" t="s">
        <v>19</v>
      </c>
      <c r="AQ23" s="149"/>
      <c r="AR23" s="149"/>
      <c r="AS23" s="149"/>
      <c r="AT23" s="149"/>
      <c r="AU23" s="149"/>
      <c r="AV23" s="149"/>
      <c r="AW23" s="149"/>
      <c r="AX23" s="149"/>
      <c r="AY23" s="149"/>
    </row>
    <row r="24" s="31" customFormat="1" ht="8.25" customHeight="1" spans="1:51">
      <c r="A24" s="60"/>
      <c r="B24" s="60"/>
      <c r="C24" s="60"/>
      <c r="D24" s="60"/>
      <c r="E24" s="60"/>
      <c r="F24" s="60"/>
      <c r="G24" s="60"/>
      <c r="H24" s="60"/>
      <c r="I24" s="60"/>
      <c r="J24" s="60"/>
      <c r="K24" s="60"/>
      <c r="L24" s="60"/>
      <c r="M24" s="60"/>
      <c r="N24" s="60"/>
      <c r="O24" s="60"/>
      <c r="P24" s="60"/>
      <c r="Q24" s="60"/>
      <c r="R24" s="60"/>
      <c r="S24" s="60"/>
      <c r="T24" s="60"/>
      <c r="U24" s="60"/>
      <c r="V24" s="60"/>
      <c r="W24" s="60"/>
      <c r="X24" s="60"/>
      <c r="Y24" s="60"/>
      <c r="Z24" s="60"/>
      <c r="AA24" s="60"/>
      <c r="AB24" s="60"/>
      <c r="AC24" s="60"/>
      <c r="AD24" s="60"/>
      <c r="AE24" s="60"/>
      <c r="AF24" s="60"/>
      <c r="AG24" s="60"/>
      <c r="AH24" s="59"/>
      <c r="AI24" s="59"/>
      <c r="AJ24" s="59"/>
      <c r="AK24" s="59"/>
      <c r="AL24" s="59"/>
      <c r="AM24" s="59"/>
      <c r="AN24" s="59"/>
      <c r="AO24" s="148"/>
      <c r="AP24" s="150"/>
      <c r="AQ24" s="150"/>
      <c r="AR24" s="150"/>
      <c r="AS24" s="150"/>
      <c r="AT24" s="150"/>
      <c r="AU24" s="150"/>
      <c r="AV24" s="150"/>
      <c r="AW24" s="150"/>
      <c r="AX24" s="150"/>
      <c r="AY24" s="150"/>
    </row>
    <row r="25" s="31" customFormat="1" ht="8.25" customHeight="1" spans="1:51">
      <c r="A25" s="60"/>
      <c r="B25" s="60"/>
      <c r="C25" s="60"/>
      <c r="D25" s="60"/>
      <c r="E25" s="60"/>
      <c r="F25" s="60"/>
      <c r="G25" s="60"/>
      <c r="H25" s="60"/>
      <c r="I25" s="60"/>
      <c r="J25" s="60"/>
      <c r="K25" s="60"/>
      <c r="L25" s="60"/>
      <c r="M25" s="60"/>
      <c r="N25" s="60"/>
      <c r="O25" s="60"/>
      <c r="P25" s="60"/>
      <c r="Q25" s="60"/>
      <c r="R25" s="60"/>
      <c r="S25" s="60"/>
      <c r="T25" s="60"/>
      <c r="U25" s="60"/>
      <c r="V25" s="60"/>
      <c r="W25" s="60"/>
      <c r="X25" s="60"/>
      <c r="Y25" s="60"/>
      <c r="Z25" s="60"/>
      <c r="AA25" s="60"/>
      <c r="AB25" s="60"/>
      <c r="AC25" s="60"/>
      <c r="AD25" s="60"/>
      <c r="AE25" s="60"/>
      <c r="AF25" s="60"/>
      <c r="AG25" s="60"/>
      <c r="AH25" s="59"/>
      <c r="AI25" s="59"/>
      <c r="AJ25" s="59"/>
      <c r="AK25" s="59"/>
      <c r="AL25" s="59"/>
      <c r="AM25" s="59"/>
      <c r="AN25" s="59"/>
      <c r="AO25" s="42"/>
      <c r="AP25" s="147"/>
      <c r="AQ25" s="147"/>
      <c r="AR25" s="147"/>
      <c r="AS25" s="147"/>
      <c r="AT25" s="147"/>
      <c r="AU25" s="147"/>
      <c r="AV25" s="147"/>
      <c r="AW25" s="147"/>
      <c r="AX25" s="147"/>
      <c r="AY25" s="147"/>
    </row>
    <row r="26" s="35" customFormat="1" ht="12" customHeight="1" spans="1:51">
      <c r="A26" s="61"/>
      <c r="B26" s="61"/>
      <c r="C26" s="61"/>
      <c r="D26" s="61"/>
      <c r="E26" s="61"/>
      <c r="F26" s="61"/>
      <c r="G26" s="61"/>
      <c r="H26" s="61"/>
      <c r="I26" s="61"/>
      <c r="J26" s="61"/>
      <c r="K26" s="61"/>
      <c r="L26" s="98"/>
      <c r="M26" s="98"/>
      <c r="N26" s="98"/>
      <c r="O26" s="99"/>
      <c r="P26" s="99"/>
      <c r="Q26" s="99"/>
      <c r="R26" s="99"/>
      <c r="S26" s="99"/>
      <c r="T26" s="99"/>
      <c r="U26" s="99"/>
      <c r="V26" s="99"/>
      <c r="W26" s="99"/>
      <c r="X26" s="99"/>
      <c r="Y26" s="99"/>
      <c r="Z26" s="99"/>
      <c r="AA26" s="99"/>
      <c r="AB26" s="99"/>
      <c r="AC26" s="99"/>
      <c r="AD26" s="99"/>
      <c r="AE26" s="99"/>
      <c r="AF26" s="99"/>
      <c r="AG26" s="99"/>
      <c r="AH26" s="99"/>
      <c r="AI26" s="99"/>
      <c r="AJ26" s="99"/>
      <c r="AK26" s="99"/>
      <c r="AL26" s="99"/>
      <c r="AM26" s="99"/>
      <c r="AN26" s="99"/>
      <c r="AO26" s="99"/>
      <c r="AP26" s="99"/>
      <c r="AQ26" s="99"/>
      <c r="AR26" s="99"/>
      <c r="AS26" s="99"/>
      <c r="AT26" s="99"/>
      <c r="AU26" s="99"/>
      <c r="AV26" s="99"/>
      <c r="AW26" s="99"/>
      <c r="AX26" s="99"/>
      <c r="AY26" s="99"/>
    </row>
    <row r="27" s="35" customFormat="1" ht="15" customHeight="1" spans="1:51">
      <c r="A27" s="234" t="s">
        <v>20</v>
      </c>
      <c r="B27" s="63"/>
      <c r="C27" s="63"/>
      <c r="D27" s="63"/>
      <c r="E27" s="63"/>
      <c r="F27" s="63"/>
      <c r="G27" s="63"/>
      <c r="H27" s="63"/>
      <c r="I27" s="63"/>
      <c r="J27" s="63"/>
      <c r="K27" s="63"/>
      <c r="L27" s="63"/>
      <c r="M27" s="63"/>
      <c r="N27" s="63"/>
      <c r="O27" s="100" t="s">
        <v>21</v>
      </c>
      <c r="P27" s="100"/>
      <c r="Q27" s="100"/>
      <c r="R27" s="100"/>
      <c r="S27" s="100"/>
      <c r="T27" s="100"/>
      <c r="U27" s="100"/>
      <c r="V27" s="100"/>
      <c r="W27" s="100"/>
      <c r="X27" s="100"/>
      <c r="Y27" s="100"/>
      <c r="Z27" s="100"/>
      <c r="AA27" s="100"/>
      <c r="AB27" s="100"/>
      <c r="AC27" s="100"/>
      <c r="AD27" s="100"/>
      <c r="AE27" s="100"/>
      <c r="AF27" s="100"/>
      <c r="AG27" s="100"/>
      <c r="AH27" s="100"/>
      <c r="AI27" s="100"/>
      <c r="AJ27" s="100"/>
      <c r="AK27" s="100"/>
      <c r="AL27" s="100"/>
      <c r="AM27" s="100"/>
      <c r="AN27" s="100"/>
      <c r="AO27" s="100"/>
      <c r="AP27" s="100"/>
      <c r="AQ27" s="100"/>
      <c r="AR27" s="100"/>
      <c r="AS27" s="100"/>
      <c r="AT27" s="100"/>
      <c r="AU27" s="100"/>
      <c r="AV27" s="100"/>
      <c r="AW27" s="100"/>
      <c r="AX27" s="100"/>
      <c r="AY27" s="156"/>
    </row>
    <row r="28" s="35" customFormat="1" ht="13.8" spans="1:51">
      <c r="A28" s="64"/>
      <c r="B28" s="65"/>
      <c r="C28" s="65"/>
      <c r="D28" s="65"/>
      <c r="E28" s="65"/>
      <c r="F28" s="65"/>
      <c r="G28" s="65"/>
      <c r="H28" s="65"/>
      <c r="I28" s="65"/>
      <c r="J28" s="65"/>
      <c r="K28" s="65"/>
      <c r="L28" s="65"/>
      <c r="M28" s="65"/>
      <c r="N28" s="65"/>
      <c r="O28" s="65"/>
      <c r="P28" s="65"/>
      <c r="Q28" s="65"/>
      <c r="R28" s="65"/>
      <c r="S28" s="65"/>
      <c r="T28" s="65"/>
      <c r="U28" s="65"/>
      <c r="V28" s="65"/>
      <c r="W28" s="65"/>
      <c r="X28" s="65"/>
      <c r="Y28" s="65"/>
      <c r="Z28" s="65"/>
      <c r="AA28" s="65"/>
      <c r="AB28" s="65"/>
      <c r="AC28" s="65"/>
      <c r="AD28" s="65"/>
      <c r="AE28" s="65"/>
      <c r="AF28" s="65"/>
      <c r="AG28" s="65"/>
      <c r="AH28" s="65"/>
      <c r="AI28" s="65"/>
      <c r="AJ28" s="65"/>
      <c r="AK28" s="65"/>
      <c r="AL28" s="65"/>
      <c r="AM28" s="65"/>
      <c r="AN28" s="65"/>
      <c r="AO28" s="65"/>
      <c r="AP28" s="65"/>
      <c r="AQ28" s="65"/>
      <c r="AR28" s="65"/>
      <c r="AS28" s="65"/>
      <c r="AT28" s="65"/>
      <c r="AU28" s="65"/>
      <c r="AV28" s="65"/>
      <c r="AW28" s="65"/>
      <c r="AX28" s="65"/>
      <c r="AY28" s="157"/>
    </row>
    <row r="29" s="35" customFormat="1" ht="13.8" spans="1:51">
      <c r="A29" s="235" t="s">
        <v>22</v>
      </c>
      <c r="B29" s="67"/>
      <c r="C29" s="67"/>
      <c r="D29" s="67"/>
      <c r="E29" s="67"/>
      <c r="F29" s="67"/>
      <c r="G29" s="67"/>
      <c r="H29" s="67"/>
      <c r="I29" s="67"/>
      <c r="J29" s="67"/>
      <c r="K29" s="67"/>
      <c r="L29" s="67"/>
      <c r="M29" s="67"/>
      <c r="N29" s="67"/>
      <c r="O29" s="67"/>
      <c r="P29" s="67"/>
      <c r="Q29" s="67"/>
      <c r="R29" s="67"/>
      <c r="S29" s="67"/>
      <c r="T29" s="67"/>
      <c r="U29" s="67"/>
      <c r="V29" s="67"/>
      <c r="W29" s="67"/>
      <c r="X29" s="111"/>
      <c r="Y29" s="111"/>
      <c r="Z29" s="111"/>
      <c r="AA29" s="111"/>
      <c r="AB29" s="111"/>
      <c r="AC29" s="111"/>
      <c r="AD29" s="111"/>
      <c r="AE29" s="111"/>
      <c r="AF29" s="111"/>
      <c r="AG29" s="111"/>
      <c r="AH29" s="111"/>
      <c r="AI29" s="111"/>
      <c r="AJ29" s="111"/>
      <c r="AK29" s="111"/>
      <c r="AL29" s="111"/>
      <c r="AM29" s="111"/>
      <c r="AN29" s="111"/>
      <c r="AO29" s="111"/>
      <c r="AP29" s="111"/>
      <c r="AQ29" s="111"/>
      <c r="AR29" s="111"/>
      <c r="AS29" s="111"/>
      <c r="AT29" s="111"/>
      <c r="AU29" s="111"/>
      <c r="AV29" s="111"/>
      <c r="AW29" s="111"/>
      <c r="AX29" s="111"/>
      <c r="AY29" s="158"/>
    </row>
    <row r="30" s="35" customFormat="1" ht="13.8" spans="1:51">
      <c r="A30" s="64"/>
      <c r="B30" s="65"/>
      <c r="C30" s="65"/>
      <c r="D30" s="65"/>
      <c r="E30" s="65"/>
      <c r="F30" s="65"/>
      <c r="G30" s="65"/>
      <c r="H30" s="65"/>
      <c r="I30" s="65"/>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5"/>
      <c r="AQ30" s="65"/>
      <c r="AR30" s="65"/>
      <c r="AS30" s="65"/>
      <c r="AT30" s="65"/>
      <c r="AU30" s="65"/>
      <c r="AV30" s="65"/>
      <c r="AW30" s="65"/>
      <c r="AX30" s="65"/>
      <c r="AY30" s="157"/>
    </row>
    <row r="31" s="35" customFormat="1" ht="15" customHeight="1" spans="1:51">
      <c r="A31" s="236" t="s">
        <v>23</v>
      </c>
      <c r="B31" s="69"/>
      <c r="C31" s="69"/>
      <c r="D31" s="69"/>
      <c r="E31" s="69"/>
      <c r="F31" s="69"/>
      <c r="G31" s="69"/>
      <c r="H31" s="69"/>
      <c r="I31" s="69"/>
      <c r="J31" s="69"/>
      <c r="K31" s="69"/>
      <c r="L31" s="101" t="s">
        <v>24</v>
      </c>
      <c r="M31" s="101"/>
      <c r="N31" s="101"/>
      <c r="O31" s="101"/>
      <c r="P31" s="101"/>
      <c r="Q31" s="101"/>
      <c r="R31" s="101"/>
      <c r="S31" s="101"/>
      <c r="T31" s="101"/>
      <c r="U31" s="101"/>
      <c r="V31" s="101"/>
      <c r="W31" s="101"/>
      <c r="X31" s="101"/>
      <c r="Y31" s="101"/>
      <c r="Z31" s="101"/>
      <c r="AA31" s="101"/>
      <c r="AB31" s="101"/>
      <c r="AC31" s="101"/>
      <c r="AD31" s="101"/>
      <c r="AE31" s="101"/>
      <c r="AF31" s="101"/>
      <c r="AG31" s="101"/>
      <c r="AH31" s="101"/>
      <c r="AI31" s="101"/>
      <c r="AJ31" s="101"/>
      <c r="AK31" s="101"/>
      <c r="AL31" s="101"/>
      <c r="AM31" s="101"/>
      <c r="AN31" s="101"/>
      <c r="AO31" s="101"/>
      <c r="AP31" s="101"/>
      <c r="AQ31" s="101"/>
      <c r="AR31" s="101"/>
      <c r="AS31" s="101"/>
      <c r="AT31" s="101"/>
      <c r="AU31" s="101"/>
      <c r="AV31" s="101"/>
      <c r="AW31" s="101"/>
      <c r="AX31" s="101"/>
      <c r="AY31" s="159"/>
    </row>
    <row r="32" s="35" customFormat="1" ht="13.8" spans="1:51">
      <c r="A32" s="64"/>
      <c r="B32" s="65"/>
      <c r="C32" s="65"/>
      <c r="D32" s="65"/>
      <c r="E32" s="65"/>
      <c r="F32" s="65"/>
      <c r="G32" s="65"/>
      <c r="H32" s="65"/>
      <c r="I32" s="65"/>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c r="AQ32" s="65"/>
      <c r="AR32" s="65"/>
      <c r="AS32" s="65"/>
      <c r="AT32" s="65"/>
      <c r="AU32" s="65"/>
      <c r="AV32" s="65"/>
      <c r="AW32" s="65"/>
      <c r="AX32" s="65"/>
      <c r="AY32" s="157"/>
    </row>
    <row r="33" s="35" customFormat="1" ht="13.8" spans="1:51">
      <c r="A33" s="68" t="s">
        <v>25</v>
      </c>
      <c r="B33" s="69"/>
      <c r="C33" s="69"/>
      <c r="D33" s="69"/>
      <c r="E33" s="69"/>
      <c r="F33" s="69"/>
      <c r="G33" s="69"/>
      <c r="H33" s="69"/>
      <c r="I33" s="69"/>
      <c r="J33" s="69"/>
      <c r="K33" s="69"/>
      <c r="L33" s="69"/>
      <c r="M33" s="102" t="s">
        <v>26</v>
      </c>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01"/>
      <c r="AL33" s="101"/>
      <c r="AM33" s="101"/>
      <c r="AN33" s="101"/>
      <c r="AO33" s="101"/>
      <c r="AP33" s="101"/>
      <c r="AQ33" s="101"/>
      <c r="AR33" s="101"/>
      <c r="AS33" s="101"/>
      <c r="AT33" s="101"/>
      <c r="AU33" s="101"/>
      <c r="AV33" s="101"/>
      <c r="AW33" s="101"/>
      <c r="AX33" s="101"/>
      <c r="AY33" s="159"/>
    </row>
    <row r="34" s="35" customFormat="1" ht="7.5" customHeight="1" spans="1:51">
      <c r="A34" s="70"/>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H34" s="71"/>
      <c r="AI34" s="71"/>
      <c r="AJ34" s="71"/>
      <c r="AK34" s="71"/>
      <c r="AL34" s="71"/>
      <c r="AM34" s="71"/>
      <c r="AN34" s="71"/>
      <c r="AO34" s="71"/>
      <c r="AP34" s="71"/>
      <c r="AQ34" s="71"/>
      <c r="AR34" s="71"/>
      <c r="AS34" s="71"/>
      <c r="AT34" s="71"/>
      <c r="AU34" s="71"/>
      <c r="AV34" s="71"/>
      <c r="AW34" s="71"/>
      <c r="AX34" s="71"/>
      <c r="AY34" s="160"/>
    </row>
    <row r="35" s="35" customFormat="1" ht="15" customHeight="1" spans="1:51">
      <c r="A35" s="237" t="s">
        <v>27</v>
      </c>
      <c r="B35" s="72"/>
      <c r="C35" s="72"/>
      <c r="D35" s="72"/>
      <c r="E35" s="72"/>
      <c r="F35" s="72"/>
      <c r="G35" s="72"/>
      <c r="H35" s="72"/>
      <c r="I35" s="72"/>
      <c r="J35" s="72"/>
      <c r="K35" s="72"/>
      <c r="L35" s="72"/>
      <c r="M35" s="72"/>
      <c r="N35" s="72"/>
      <c r="O35" s="72"/>
      <c r="P35" s="238" t="s">
        <v>28</v>
      </c>
      <c r="Q35" s="112"/>
      <c r="R35" s="112"/>
      <c r="S35" s="112"/>
      <c r="T35" s="112"/>
      <c r="U35" s="112"/>
      <c r="V35" s="112"/>
      <c r="W35" s="112"/>
      <c r="X35" s="112"/>
      <c r="Y35" s="112"/>
      <c r="Z35" s="112"/>
      <c r="AA35" s="117"/>
      <c r="AB35" s="99"/>
      <c r="AC35" s="99"/>
      <c r="AD35" s="99"/>
      <c r="AE35" s="99"/>
      <c r="AF35" s="99"/>
      <c r="AG35" s="99"/>
      <c r="AH35" s="99"/>
      <c r="AI35" s="99"/>
      <c r="AJ35" s="99"/>
      <c r="AK35" s="99"/>
      <c r="AL35" s="99"/>
      <c r="AM35" s="99"/>
      <c r="AN35" s="99"/>
      <c r="AO35" s="99"/>
      <c r="AP35" s="99"/>
      <c r="AQ35" s="99"/>
      <c r="AR35" s="99"/>
      <c r="AS35" s="99"/>
      <c r="AT35" s="99"/>
      <c r="AU35" s="99"/>
      <c r="AV35" s="99"/>
      <c r="AW35" s="99"/>
      <c r="AX35" s="99"/>
      <c r="AY35" s="99"/>
    </row>
    <row r="36" s="35" customFormat="1" ht="13.8" spans="1:51">
      <c r="A36" s="73"/>
      <c r="B36" s="73"/>
      <c r="C36" s="73"/>
      <c r="D36" s="73"/>
      <c r="E36" s="73"/>
      <c r="F36" s="73"/>
      <c r="G36" s="73"/>
      <c r="H36" s="73"/>
      <c r="I36" s="73"/>
      <c r="J36" s="73"/>
      <c r="K36" s="73"/>
      <c r="L36" s="73"/>
      <c r="M36" s="73"/>
      <c r="N36" s="73"/>
      <c r="O36" s="73"/>
      <c r="P36" s="104"/>
      <c r="Q36" s="113"/>
      <c r="R36" s="113"/>
      <c r="S36" s="113"/>
      <c r="T36" s="113"/>
      <c r="U36" s="113"/>
      <c r="V36" s="113"/>
      <c r="W36" s="113"/>
      <c r="X36" s="113"/>
      <c r="Y36" s="113"/>
      <c r="Z36" s="113"/>
      <c r="AA36" s="118"/>
      <c r="AB36" s="99"/>
      <c r="AC36" s="99"/>
      <c r="AD36" s="99"/>
      <c r="AE36" s="99"/>
      <c r="AF36" s="99"/>
      <c r="AG36" s="99"/>
      <c r="AH36" s="99"/>
      <c r="AI36" s="99"/>
      <c r="AJ36" s="99"/>
      <c r="AK36" s="99"/>
      <c r="AL36" s="99"/>
      <c r="AM36" s="99"/>
      <c r="AN36" s="99"/>
      <c r="AO36" s="99"/>
      <c r="AP36" s="99"/>
      <c r="AQ36" s="99"/>
      <c r="AR36" s="99"/>
      <c r="AS36" s="99"/>
      <c r="AT36" s="99"/>
      <c r="AU36" s="99"/>
      <c r="AV36" s="99"/>
      <c r="AW36" s="99"/>
      <c r="AX36" s="99"/>
      <c r="AY36" s="99"/>
    </row>
    <row r="37" s="35" customFormat="1" ht="13.8" spans="1:51">
      <c r="A37" s="73">
        <v>1</v>
      </c>
      <c r="B37" s="73"/>
      <c r="C37" s="73"/>
      <c r="D37" s="73"/>
      <c r="E37" s="73"/>
      <c r="F37" s="73"/>
      <c r="G37" s="73"/>
      <c r="H37" s="73"/>
      <c r="I37" s="73"/>
      <c r="J37" s="73"/>
      <c r="K37" s="73"/>
      <c r="L37" s="73"/>
      <c r="M37" s="73"/>
      <c r="N37" s="73"/>
      <c r="O37" s="73"/>
      <c r="P37" s="73">
        <v>2</v>
      </c>
      <c r="Q37" s="73"/>
      <c r="R37" s="73"/>
      <c r="S37" s="73"/>
      <c r="T37" s="73"/>
      <c r="U37" s="73"/>
      <c r="V37" s="73"/>
      <c r="W37" s="73"/>
      <c r="X37" s="73"/>
      <c r="Y37" s="73"/>
      <c r="Z37" s="73"/>
      <c r="AA37" s="73"/>
      <c r="AB37" s="99"/>
      <c r="AC37" s="99"/>
      <c r="AD37" s="99"/>
      <c r="AE37" s="99"/>
      <c r="AF37" s="99"/>
      <c r="AG37" s="99"/>
      <c r="AH37" s="99"/>
      <c r="AI37" s="99"/>
      <c r="AJ37" s="99"/>
      <c r="AK37" s="99"/>
      <c r="AL37" s="99"/>
      <c r="AM37" s="99"/>
      <c r="AN37" s="99"/>
      <c r="AO37" s="99"/>
      <c r="AP37" s="99"/>
      <c r="AQ37" s="99"/>
      <c r="AR37" s="99"/>
      <c r="AS37" s="99"/>
      <c r="AT37" s="99"/>
      <c r="AU37" s="99"/>
      <c r="AV37" s="99"/>
      <c r="AW37" s="99"/>
      <c r="AX37" s="99"/>
      <c r="AY37" s="99"/>
    </row>
    <row r="38" s="35" customFormat="1" ht="13.8" spans="1:51">
      <c r="A38" s="74" t="s">
        <v>29</v>
      </c>
      <c r="B38" s="74"/>
      <c r="C38" s="74"/>
      <c r="D38" s="74"/>
      <c r="E38" s="74"/>
      <c r="F38" s="74"/>
      <c r="G38" s="74"/>
      <c r="H38" s="74"/>
      <c r="I38" s="74"/>
      <c r="J38" s="74"/>
      <c r="K38" s="74"/>
      <c r="L38" s="74"/>
      <c r="M38" s="74"/>
      <c r="N38" s="74"/>
      <c r="O38" s="74"/>
      <c r="P38" s="105">
        <v>400051810</v>
      </c>
      <c r="Q38" s="105"/>
      <c r="R38" s="105"/>
      <c r="S38" s="105"/>
      <c r="T38" s="105"/>
      <c r="U38" s="105"/>
      <c r="V38" s="105"/>
      <c r="W38" s="105"/>
      <c r="X38" s="105"/>
      <c r="Y38" s="105"/>
      <c r="Z38" s="105"/>
      <c r="AA38" s="105"/>
      <c r="AB38" s="99"/>
      <c r="AC38" s="99"/>
      <c r="AD38" s="99"/>
      <c r="AE38" s="99"/>
      <c r="AF38" s="99"/>
      <c r="AG38" s="99"/>
      <c r="AH38" s="99"/>
      <c r="AI38" s="99"/>
      <c r="AJ38" s="99"/>
      <c r="AK38" s="99"/>
      <c r="AL38" s="99"/>
      <c r="AM38" s="99"/>
      <c r="AN38" s="99"/>
      <c r="AO38" s="99"/>
      <c r="AP38" s="99"/>
      <c r="AQ38" s="99"/>
      <c r="AR38" s="99"/>
      <c r="AS38" s="99"/>
      <c r="AT38" s="99"/>
      <c r="AU38" s="99"/>
      <c r="AV38" s="99"/>
      <c r="AW38" s="99"/>
      <c r="AX38" s="99"/>
      <c r="AY38" s="99"/>
    </row>
    <row r="39" s="35" customFormat="1" ht="11.25" customHeight="1" spans="1:51">
      <c r="A39" s="75"/>
      <c r="B39" s="75"/>
      <c r="C39" s="75"/>
      <c r="D39" s="75"/>
      <c r="E39" s="75"/>
      <c r="F39" s="75"/>
      <c r="G39" s="75"/>
      <c r="H39" s="75"/>
      <c r="I39" s="106"/>
      <c r="J39" s="106"/>
      <c r="K39" s="106"/>
      <c r="L39" s="106"/>
      <c r="M39" s="106"/>
      <c r="N39" s="106"/>
      <c r="O39" s="106"/>
      <c r="P39" s="77"/>
      <c r="Q39" s="77"/>
      <c r="R39" s="77"/>
      <c r="S39" s="77"/>
      <c r="T39" s="77"/>
      <c r="U39" s="77"/>
      <c r="V39" s="77"/>
      <c r="W39" s="77"/>
      <c r="X39" s="77"/>
      <c r="Y39" s="77"/>
      <c r="Z39" s="77"/>
      <c r="AA39" s="77"/>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row>
    <row r="40" s="33" customFormat="1" ht="24" customHeight="1" spans="1:51">
      <c r="A40" s="76" t="s">
        <v>30</v>
      </c>
      <c r="B40" s="76"/>
      <c r="C40" s="76"/>
      <c r="D40" s="76"/>
      <c r="E40" s="76"/>
      <c r="F40" s="76"/>
      <c r="G40" s="76"/>
      <c r="H40" s="76"/>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row>
    <row r="41" s="35" customFormat="1" ht="6" customHeight="1" spans="1:51">
      <c r="A41" s="77"/>
      <c r="B41" s="77"/>
      <c r="C41" s="77"/>
      <c r="D41" s="77"/>
      <c r="E41" s="77"/>
      <c r="F41" s="77"/>
      <c r="G41" s="77"/>
      <c r="H41" s="77"/>
      <c r="I41" s="77"/>
      <c r="J41" s="77"/>
      <c r="K41" s="77"/>
      <c r="L41" s="77"/>
      <c r="M41" s="77"/>
      <c r="N41" s="77"/>
      <c r="O41" s="77"/>
      <c r="P41" s="77"/>
      <c r="Q41" s="77"/>
      <c r="R41" s="77"/>
      <c r="S41" s="77"/>
      <c r="T41" s="77"/>
      <c r="U41" s="77"/>
      <c r="V41" s="77"/>
      <c r="W41" s="77"/>
      <c r="X41" s="77"/>
      <c r="Y41" s="77"/>
      <c r="Z41" s="77"/>
      <c r="AA41" s="77"/>
      <c r="AB41" s="99"/>
      <c r="AC41" s="99"/>
      <c r="AD41" s="99"/>
      <c r="AE41" s="99"/>
      <c r="AF41" s="99"/>
      <c r="AG41" s="99"/>
      <c r="AH41" s="99"/>
      <c r="AI41" s="99"/>
      <c r="AJ41" s="99"/>
      <c r="AK41" s="99"/>
      <c r="AL41" s="99"/>
      <c r="AM41" s="99"/>
      <c r="AN41" s="99"/>
      <c r="AO41" s="99"/>
      <c r="AP41" s="99"/>
      <c r="AQ41" s="99"/>
      <c r="AR41" s="99"/>
      <c r="AS41" s="99"/>
      <c r="AT41" s="99"/>
      <c r="AU41" s="99"/>
      <c r="AV41" s="99"/>
      <c r="AW41" s="99"/>
      <c r="AX41" s="99"/>
      <c r="AY41" s="99"/>
    </row>
    <row r="42" s="35" customFormat="1" ht="13.8" spans="1:51">
      <c r="A42" s="78" t="s">
        <v>31</v>
      </c>
      <c r="B42" s="78"/>
      <c r="C42" s="78"/>
      <c r="D42" s="78"/>
      <c r="E42" s="78"/>
      <c r="F42" s="78"/>
      <c r="G42" s="78"/>
      <c r="H42" s="78"/>
      <c r="I42" s="78"/>
      <c r="J42" s="78"/>
      <c r="K42" s="78"/>
      <c r="L42" s="78"/>
      <c r="M42" s="78"/>
      <c r="N42" s="78"/>
      <c r="O42" s="78"/>
      <c r="P42" s="78"/>
      <c r="Q42" s="78"/>
      <c r="R42" s="78"/>
      <c r="S42" s="78"/>
      <c r="T42" s="78"/>
      <c r="U42" s="78"/>
      <c r="V42" s="78"/>
      <c r="W42" s="78"/>
      <c r="X42" s="78"/>
      <c r="Y42" s="78"/>
      <c r="Z42" s="78"/>
      <c r="AA42" s="78"/>
      <c r="AB42" s="78"/>
      <c r="AC42" s="78"/>
      <c r="AD42" s="78"/>
      <c r="AE42" s="78"/>
      <c r="AF42" s="78"/>
      <c r="AG42" s="78"/>
      <c r="AH42" s="78"/>
      <c r="AI42" s="78"/>
      <c r="AJ42" s="78"/>
      <c r="AK42" s="78"/>
      <c r="AL42" s="78"/>
      <c r="AM42" s="78"/>
      <c r="AN42" s="78"/>
      <c r="AO42" s="78"/>
      <c r="AP42" s="78"/>
      <c r="AQ42" s="78"/>
      <c r="AR42" s="78"/>
      <c r="AS42" s="78"/>
      <c r="AT42" s="78"/>
      <c r="AU42" s="78"/>
      <c r="AV42" s="78"/>
      <c r="AW42" s="78"/>
      <c r="AX42" s="78"/>
      <c r="AY42" s="78"/>
    </row>
    <row r="43" s="35" customFormat="1" ht="13.8" spans="1:51">
      <c r="A43" s="78" t="s">
        <v>32</v>
      </c>
      <c r="B43" s="78"/>
      <c r="C43" s="78"/>
      <c r="D43" s="78"/>
      <c r="E43" s="78"/>
      <c r="F43" s="78"/>
      <c r="G43" s="78"/>
      <c r="H43" s="78"/>
      <c r="I43" s="78"/>
      <c r="J43" s="78"/>
      <c r="K43" s="78"/>
      <c r="L43" s="78"/>
      <c r="M43" s="78"/>
      <c r="N43" s="78"/>
      <c r="O43" s="78"/>
      <c r="P43" s="78"/>
      <c r="Q43" s="78"/>
      <c r="R43" s="78"/>
      <c r="S43" s="78"/>
      <c r="T43" s="78"/>
      <c r="U43" s="78"/>
      <c r="V43" s="78"/>
      <c r="W43" s="78"/>
      <c r="X43" s="78"/>
      <c r="Y43" s="78"/>
      <c r="Z43" s="78"/>
      <c r="AA43" s="78"/>
      <c r="AB43" s="78"/>
      <c r="AC43" s="78"/>
      <c r="AD43" s="78"/>
      <c r="AE43" s="78"/>
      <c r="AF43" s="78"/>
      <c r="AG43" s="78"/>
      <c r="AH43" s="78"/>
      <c r="AI43" s="78"/>
      <c r="AJ43" s="78"/>
      <c r="AK43" s="78"/>
      <c r="AL43" s="78"/>
      <c r="AM43" s="78"/>
      <c r="AN43" s="78"/>
      <c r="AO43" s="78"/>
      <c r="AP43" s="78"/>
      <c r="AQ43" s="78"/>
      <c r="AR43" s="78"/>
      <c r="AS43" s="78"/>
      <c r="AT43" s="78"/>
      <c r="AU43" s="78"/>
      <c r="AV43" s="78"/>
      <c r="AW43" s="78"/>
      <c r="AX43" s="78"/>
      <c r="AY43" s="78"/>
    </row>
    <row r="44" s="36" customFormat="1" ht="12" spans="1:51">
      <c r="A44" s="79" t="s">
        <v>33</v>
      </c>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79"/>
      <c r="AJ44" s="79"/>
      <c r="AK44" s="79"/>
      <c r="AL44" s="79"/>
      <c r="AM44" s="79"/>
      <c r="AN44" s="79"/>
      <c r="AO44" s="79"/>
      <c r="AP44" s="79"/>
      <c r="AQ44" s="79"/>
      <c r="AR44" s="79"/>
      <c r="AS44" s="79"/>
      <c r="AT44" s="79"/>
      <c r="AU44" s="79"/>
      <c r="AV44" s="79"/>
      <c r="AW44" s="79"/>
      <c r="AX44" s="79"/>
      <c r="AY44" s="79"/>
    </row>
    <row r="45" s="36" customFormat="1" ht="12" spans="1:51">
      <c r="A45" s="80" t="s">
        <v>34</v>
      </c>
      <c r="B45" s="80"/>
      <c r="C45" s="80"/>
      <c r="D45" s="80"/>
      <c r="E45" s="80"/>
      <c r="F45" s="80"/>
      <c r="G45" s="80"/>
      <c r="H45" s="80"/>
      <c r="I45" s="80"/>
      <c r="J45" s="80"/>
      <c r="K45" s="80"/>
      <c r="L45" s="80"/>
      <c r="M45" s="80"/>
      <c r="N45" s="80"/>
      <c r="O45" s="80"/>
      <c r="P45" s="80"/>
      <c r="Q45" s="80"/>
      <c r="R45" s="80"/>
      <c r="S45" s="80"/>
      <c r="T45" s="80"/>
      <c r="U45" s="80"/>
      <c r="V45" s="80"/>
      <c r="W45" s="80"/>
      <c r="X45" s="80"/>
      <c r="Y45" s="80"/>
      <c r="Z45" s="80"/>
      <c r="AA45" s="80"/>
      <c r="AB45" s="80"/>
      <c r="AC45" s="80"/>
      <c r="AD45" s="80"/>
      <c r="AE45" s="80"/>
      <c r="AF45" s="80"/>
      <c r="AG45" s="80"/>
      <c r="AH45" s="80"/>
      <c r="AI45" s="80"/>
      <c r="AJ45" s="80"/>
      <c r="AK45" s="80"/>
      <c r="AL45" s="80"/>
      <c r="AM45" s="80"/>
      <c r="AN45" s="80"/>
      <c r="AO45" s="80"/>
      <c r="AP45" s="80"/>
      <c r="AQ45" s="80"/>
      <c r="AR45" s="80"/>
      <c r="AS45" s="80"/>
      <c r="AT45" s="80"/>
      <c r="AU45" s="80"/>
      <c r="AV45" s="80"/>
      <c r="AW45" s="80"/>
      <c r="AX45" s="80"/>
      <c r="AY45" s="80"/>
    </row>
    <row r="46" s="35" customFormat="1" ht="13.8" spans="1:51">
      <c r="A46" s="81" t="s">
        <v>35</v>
      </c>
      <c r="B46" s="82"/>
      <c r="C46" s="82"/>
      <c r="D46" s="82"/>
      <c r="E46" s="82"/>
      <c r="F46" s="8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123"/>
      <c r="AH46" s="81" t="s">
        <v>36</v>
      </c>
      <c r="AI46" s="82"/>
      <c r="AJ46" s="82"/>
      <c r="AK46" s="123"/>
      <c r="AL46" s="73" t="s">
        <v>37</v>
      </c>
      <c r="AM46" s="73"/>
      <c r="AN46" s="73"/>
      <c r="AO46" s="73"/>
      <c r="AP46" s="73"/>
      <c r="AQ46" s="73"/>
      <c r="AR46" s="239" t="s">
        <v>38</v>
      </c>
      <c r="AS46" s="73"/>
      <c r="AT46" s="73"/>
      <c r="AU46" s="73"/>
      <c r="AV46" s="73"/>
      <c r="AW46" s="73"/>
      <c r="AX46" s="73"/>
      <c r="AY46" s="73"/>
    </row>
    <row r="47" s="35" customFormat="1" ht="13.8" spans="1:51">
      <c r="A47" s="81" t="s">
        <v>39</v>
      </c>
      <c r="B47" s="82"/>
      <c r="C47" s="82"/>
      <c r="D47" s="82"/>
      <c r="E47" s="82"/>
      <c r="F47" s="8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123"/>
      <c r="AH47" s="124" t="s">
        <v>40</v>
      </c>
      <c r="AI47" s="125"/>
      <c r="AJ47" s="125"/>
      <c r="AK47" s="126"/>
      <c r="AL47" s="73">
        <v>1</v>
      </c>
      <c r="AM47" s="73"/>
      <c r="AN47" s="73"/>
      <c r="AO47" s="73"/>
      <c r="AP47" s="73"/>
      <c r="AQ47" s="73"/>
      <c r="AR47" s="73">
        <v>2</v>
      </c>
      <c r="AS47" s="73"/>
      <c r="AT47" s="73"/>
      <c r="AU47" s="73"/>
      <c r="AV47" s="73"/>
      <c r="AW47" s="73"/>
      <c r="AX47" s="73"/>
      <c r="AY47" s="73"/>
    </row>
    <row r="48" s="35" customFormat="1" ht="13.8" spans="1:51">
      <c r="A48" s="83" t="s">
        <v>41</v>
      </c>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127"/>
      <c r="AH48" s="124">
        <v>101</v>
      </c>
      <c r="AI48" s="125"/>
      <c r="AJ48" s="125"/>
      <c r="AK48" s="126"/>
      <c r="AL48" s="128">
        <v>4167</v>
      </c>
      <c r="AM48" s="128"/>
      <c r="AN48" s="128"/>
      <c r="AO48" s="128"/>
      <c r="AP48" s="128"/>
      <c r="AQ48" s="128"/>
      <c r="AR48" s="151">
        <v>255</v>
      </c>
      <c r="AS48" s="151"/>
      <c r="AT48" s="151"/>
      <c r="AU48" s="151"/>
      <c r="AV48" s="151"/>
      <c r="AW48" s="151"/>
      <c r="AX48" s="151"/>
      <c r="AY48" s="151"/>
    </row>
    <row r="49" s="35" customFormat="1" ht="13.8" spans="1:51">
      <c r="A49" s="240" t="s">
        <v>42</v>
      </c>
      <c r="B49" s="86"/>
      <c r="C49" s="86"/>
      <c r="D49" s="86"/>
      <c r="E49" s="86"/>
      <c r="F49" s="86"/>
      <c r="G49" s="86"/>
      <c r="H49" s="86"/>
      <c r="I49" s="86"/>
      <c r="J49" s="86"/>
      <c r="K49" s="86"/>
      <c r="L49" s="86"/>
      <c r="M49" s="86"/>
      <c r="N49" s="86"/>
      <c r="O49" s="86"/>
      <c r="P49" s="86"/>
      <c r="Q49" s="86"/>
      <c r="R49" s="86"/>
      <c r="S49" s="86"/>
      <c r="T49" s="86"/>
      <c r="U49" s="86"/>
      <c r="V49" s="86"/>
      <c r="W49" s="86"/>
      <c r="X49" s="86"/>
      <c r="Y49" s="86"/>
      <c r="Z49" s="86"/>
      <c r="AA49" s="86"/>
      <c r="AB49" s="86"/>
      <c r="AC49" s="86"/>
      <c r="AD49" s="86"/>
      <c r="AE49" s="86"/>
      <c r="AF49" s="86"/>
      <c r="AG49" s="129"/>
      <c r="AH49" s="124">
        <v>102</v>
      </c>
      <c r="AI49" s="125"/>
      <c r="AJ49" s="125"/>
      <c r="AK49" s="126"/>
      <c r="AL49" s="128">
        <v>3198</v>
      </c>
      <c r="AM49" s="128"/>
      <c r="AN49" s="128"/>
      <c r="AO49" s="128"/>
      <c r="AP49" s="128"/>
      <c r="AQ49" s="128"/>
      <c r="AR49" s="151">
        <v>255</v>
      </c>
      <c r="AS49" s="151"/>
      <c r="AT49" s="151"/>
      <c r="AU49" s="151"/>
      <c r="AV49" s="151"/>
      <c r="AW49" s="151"/>
      <c r="AX49" s="151"/>
      <c r="AY49" s="151"/>
    </row>
    <row r="50" s="35" customFormat="1" ht="13.8" spans="1:51">
      <c r="A50" s="83" t="s">
        <v>43</v>
      </c>
      <c r="B50" s="84"/>
      <c r="C50" s="84"/>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127"/>
      <c r="AH50" s="124">
        <v>103</v>
      </c>
      <c r="AI50" s="125"/>
      <c r="AJ50" s="125"/>
      <c r="AK50" s="126"/>
      <c r="AL50" s="128">
        <v>331</v>
      </c>
      <c r="AM50" s="128"/>
      <c r="AN50" s="128"/>
      <c r="AO50" s="128"/>
      <c r="AP50" s="128"/>
      <c r="AQ50" s="128"/>
      <c r="AR50" s="151"/>
      <c r="AS50" s="151"/>
      <c r="AT50" s="151"/>
      <c r="AU50" s="151"/>
      <c r="AV50" s="151"/>
      <c r="AW50" s="151"/>
      <c r="AX50" s="151"/>
      <c r="AY50" s="151"/>
    </row>
    <row r="51" s="35" customFormat="1" ht="13.8" spans="1:51">
      <c r="A51" s="83" t="s">
        <v>44</v>
      </c>
      <c r="B51" s="84"/>
      <c r="C51" s="84"/>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127"/>
      <c r="AH51" s="124">
        <v>104</v>
      </c>
      <c r="AI51" s="125"/>
      <c r="AJ51" s="125"/>
      <c r="AK51" s="126"/>
      <c r="AL51" s="128">
        <v>15174</v>
      </c>
      <c r="AM51" s="128"/>
      <c r="AN51" s="128"/>
      <c r="AO51" s="128"/>
      <c r="AP51" s="128"/>
      <c r="AQ51" s="128"/>
      <c r="AR51" s="151">
        <v>842</v>
      </c>
      <c r="AS51" s="151"/>
      <c r="AT51" s="151"/>
      <c r="AU51" s="151"/>
      <c r="AV51" s="151"/>
      <c r="AW51" s="151"/>
      <c r="AX51" s="151"/>
      <c r="AY51" s="151"/>
    </row>
    <row r="52" s="35" customFormat="1" ht="30" customHeight="1" spans="1:51">
      <c r="A52" s="83" t="s">
        <v>45</v>
      </c>
      <c r="B52" s="84"/>
      <c r="C52" s="84"/>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127"/>
      <c r="AH52" s="124">
        <v>105</v>
      </c>
      <c r="AI52" s="125"/>
      <c r="AJ52" s="125"/>
      <c r="AK52" s="126"/>
      <c r="AL52" s="128">
        <v>13585</v>
      </c>
      <c r="AM52" s="128"/>
      <c r="AN52" s="128"/>
      <c r="AO52" s="128"/>
      <c r="AP52" s="128"/>
      <c r="AQ52" s="128"/>
      <c r="AR52" s="151">
        <v>842</v>
      </c>
      <c r="AS52" s="151"/>
      <c r="AT52" s="151"/>
      <c r="AU52" s="151"/>
      <c r="AV52" s="151"/>
      <c r="AW52" s="151"/>
      <c r="AX52" s="151"/>
      <c r="AY52" s="151"/>
    </row>
    <row r="53" s="35" customFormat="1" ht="13.8" spans="1:51">
      <c r="A53" s="83" t="s">
        <v>43</v>
      </c>
      <c r="B53" s="84"/>
      <c r="C53" s="84"/>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127"/>
      <c r="AH53" s="124">
        <v>106</v>
      </c>
      <c r="AI53" s="125"/>
      <c r="AJ53" s="125"/>
      <c r="AK53" s="126"/>
      <c r="AL53" s="128"/>
      <c r="AM53" s="128"/>
      <c r="AN53" s="128"/>
      <c r="AO53" s="128"/>
      <c r="AP53" s="128"/>
      <c r="AQ53" s="128"/>
      <c r="AR53" s="151"/>
      <c r="AS53" s="151"/>
      <c r="AT53" s="151"/>
      <c r="AU53" s="151"/>
      <c r="AV53" s="151"/>
      <c r="AW53" s="151"/>
      <c r="AX53" s="151"/>
      <c r="AY53" s="151"/>
    </row>
    <row r="54" s="35" customFormat="1" ht="13.8" spans="1:51">
      <c r="A54" s="83" t="s">
        <v>46</v>
      </c>
      <c r="B54" s="84"/>
      <c r="C54" s="84"/>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127"/>
      <c r="AH54" s="124">
        <v>107</v>
      </c>
      <c r="AI54" s="125"/>
      <c r="AJ54" s="125"/>
      <c r="AK54" s="126"/>
      <c r="AL54" s="128">
        <v>313</v>
      </c>
      <c r="AM54" s="128"/>
      <c r="AN54" s="128"/>
      <c r="AO54" s="128"/>
      <c r="AP54" s="128"/>
      <c r="AQ54" s="128"/>
      <c r="AR54" s="151"/>
      <c r="AS54" s="151"/>
      <c r="AT54" s="151"/>
      <c r="AU54" s="151"/>
      <c r="AV54" s="151"/>
      <c r="AW54" s="151"/>
      <c r="AX54" s="151"/>
      <c r="AY54" s="151"/>
    </row>
    <row r="55" s="35" customFormat="1" ht="13.8" spans="1:51">
      <c r="A55" s="83" t="s">
        <v>47</v>
      </c>
      <c r="B55" s="84"/>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127"/>
      <c r="AH55" s="124">
        <v>108</v>
      </c>
      <c r="AI55" s="125"/>
      <c r="AJ55" s="125"/>
      <c r="AK55" s="126"/>
      <c r="AL55" s="128">
        <v>59</v>
      </c>
      <c r="AM55" s="128"/>
      <c r="AN55" s="128"/>
      <c r="AO55" s="128"/>
      <c r="AP55" s="128"/>
      <c r="AQ55" s="128"/>
      <c r="AR55" s="151"/>
      <c r="AS55" s="151"/>
      <c r="AT55" s="151"/>
      <c r="AU55" s="151"/>
      <c r="AV55" s="151"/>
      <c r="AW55" s="151"/>
      <c r="AX55" s="151"/>
      <c r="AY55" s="151"/>
    </row>
    <row r="56" s="35" customFormat="1" ht="13.8" spans="1:51">
      <c r="A56" s="83" t="s">
        <v>48</v>
      </c>
      <c r="B56" s="84"/>
      <c r="C56" s="84"/>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127"/>
      <c r="AH56" s="124">
        <v>109</v>
      </c>
      <c r="AI56" s="125"/>
      <c r="AJ56" s="125"/>
      <c r="AK56" s="126"/>
      <c r="AL56" s="128">
        <v>1186</v>
      </c>
      <c r="AM56" s="128"/>
      <c r="AN56" s="128"/>
      <c r="AO56" s="128"/>
      <c r="AP56" s="128"/>
      <c r="AQ56" s="128"/>
      <c r="AR56" s="151"/>
      <c r="AS56" s="151"/>
      <c r="AT56" s="151"/>
      <c r="AU56" s="151"/>
      <c r="AV56" s="151"/>
      <c r="AW56" s="151"/>
      <c r="AX56" s="151"/>
      <c r="AY56" s="151"/>
    </row>
    <row r="57" s="35" customFormat="1" ht="13.8" spans="1:51">
      <c r="A57" s="83" t="s">
        <v>49</v>
      </c>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127"/>
      <c r="AH57" s="124">
        <v>110</v>
      </c>
      <c r="AI57" s="125"/>
      <c r="AJ57" s="125"/>
      <c r="AK57" s="126"/>
      <c r="AL57" s="128"/>
      <c r="AM57" s="128"/>
      <c r="AN57" s="128"/>
      <c r="AO57" s="128"/>
      <c r="AP57" s="128"/>
      <c r="AQ57" s="128"/>
      <c r="AR57" s="151"/>
      <c r="AS57" s="151"/>
      <c r="AT57" s="151"/>
      <c r="AU57" s="151"/>
      <c r="AV57" s="151"/>
      <c r="AW57" s="151"/>
      <c r="AX57" s="151"/>
      <c r="AY57" s="151"/>
    </row>
    <row r="58" s="35" customFormat="1" ht="30" customHeight="1" spans="1:51">
      <c r="A58" s="83" t="s">
        <v>50</v>
      </c>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127"/>
      <c r="AH58" s="124">
        <v>111</v>
      </c>
      <c r="AI58" s="125"/>
      <c r="AJ58" s="125"/>
      <c r="AK58" s="126"/>
      <c r="AL58" s="128"/>
      <c r="AM58" s="128"/>
      <c r="AN58" s="128"/>
      <c r="AO58" s="128"/>
      <c r="AP58" s="128"/>
      <c r="AQ58" s="128"/>
      <c r="AR58" s="151"/>
      <c r="AS58" s="151"/>
      <c r="AT58" s="151"/>
      <c r="AU58" s="151"/>
      <c r="AV58" s="151"/>
      <c r="AW58" s="151"/>
      <c r="AX58" s="151"/>
      <c r="AY58" s="151"/>
    </row>
    <row r="59" s="35" customFormat="1" ht="13.8" spans="1:51">
      <c r="A59" s="83" t="s">
        <v>51</v>
      </c>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127"/>
      <c r="AH59" s="124">
        <v>113</v>
      </c>
      <c r="AI59" s="125"/>
      <c r="AJ59" s="125"/>
      <c r="AK59" s="126"/>
      <c r="AL59" s="128"/>
      <c r="AM59" s="128"/>
      <c r="AN59" s="128"/>
      <c r="AO59" s="128"/>
      <c r="AP59" s="128"/>
      <c r="AQ59" s="128"/>
      <c r="AR59" s="151"/>
      <c r="AS59" s="151"/>
      <c r="AT59" s="151"/>
      <c r="AU59" s="151"/>
      <c r="AV59" s="151"/>
      <c r="AW59" s="151"/>
      <c r="AX59" s="151"/>
      <c r="AY59" s="151"/>
    </row>
    <row r="60" s="35" customFormat="1" ht="13.8" spans="1:51">
      <c r="A60" s="83" t="s">
        <v>52</v>
      </c>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127"/>
      <c r="AH60" s="124">
        <v>114</v>
      </c>
      <c r="AI60" s="125"/>
      <c r="AJ60" s="125"/>
      <c r="AK60" s="126"/>
      <c r="AL60" s="128">
        <v>3533</v>
      </c>
      <c r="AM60" s="128"/>
      <c r="AN60" s="128"/>
      <c r="AO60" s="128"/>
      <c r="AP60" s="128"/>
      <c r="AQ60" s="128"/>
      <c r="AR60" s="152" t="s">
        <v>53</v>
      </c>
      <c r="AS60" s="152"/>
      <c r="AT60" s="152"/>
      <c r="AU60" s="152"/>
      <c r="AV60" s="152"/>
      <c r="AW60" s="152"/>
      <c r="AX60" s="152"/>
      <c r="AY60" s="152"/>
    </row>
    <row r="61" s="35" customFormat="1" ht="30" customHeight="1" spans="1:51">
      <c r="A61" s="85" t="s">
        <v>54</v>
      </c>
      <c r="B61" s="86"/>
      <c r="C61" s="86"/>
      <c r="D61" s="86"/>
      <c r="E61" s="86"/>
      <c r="F61" s="86"/>
      <c r="G61" s="86"/>
      <c r="H61" s="86"/>
      <c r="I61" s="86"/>
      <c r="J61" s="86"/>
      <c r="K61" s="86"/>
      <c r="L61" s="86"/>
      <c r="M61" s="86"/>
      <c r="N61" s="86"/>
      <c r="O61" s="86"/>
      <c r="P61" s="86"/>
      <c r="Q61" s="86"/>
      <c r="R61" s="86"/>
      <c r="S61" s="86"/>
      <c r="T61" s="86"/>
      <c r="U61" s="86"/>
      <c r="V61" s="86"/>
      <c r="W61" s="86"/>
      <c r="X61" s="86"/>
      <c r="Y61" s="86"/>
      <c r="Z61" s="86"/>
      <c r="AA61" s="86"/>
      <c r="AB61" s="86"/>
      <c r="AC61" s="86"/>
      <c r="AD61" s="86"/>
      <c r="AE61" s="86"/>
      <c r="AF61" s="86"/>
      <c r="AG61" s="129"/>
      <c r="AH61" s="130">
        <v>117</v>
      </c>
      <c r="AI61" s="131"/>
      <c r="AJ61" s="131"/>
      <c r="AK61" s="132"/>
      <c r="AL61" s="133"/>
      <c r="AM61" s="133"/>
      <c r="AN61" s="133"/>
      <c r="AO61" s="133"/>
      <c r="AP61" s="133"/>
      <c r="AQ61" s="133"/>
      <c r="AR61" s="153"/>
      <c r="AS61" s="153"/>
      <c r="AT61" s="153"/>
      <c r="AU61" s="153"/>
      <c r="AV61" s="153"/>
      <c r="AW61" s="153"/>
      <c r="AX61" s="153"/>
      <c r="AY61" s="153"/>
    </row>
    <row r="62" s="35" customFormat="1" ht="30" customHeight="1" spans="1:51">
      <c r="A62" s="85" t="s">
        <v>55</v>
      </c>
      <c r="B62" s="86"/>
      <c r="C62" s="86"/>
      <c r="D62" s="86"/>
      <c r="E62" s="86"/>
      <c r="F62" s="86"/>
      <c r="G62" s="86"/>
      <c r="H62" s="86"/>
      <c r="I62" s="86"/>
      <c r="J62" s="86"/>
      <c r="K62" s="86"/>
      <c r="L62" s="86"/>
      <c r="M62" s="86"/>
      <c r="N62" s="86"/>
      <c r="O62" s="86"/>
      <c r="P62" s="86"/>
      <c r="Q62" s="86"/>
      <c r="R62" s="86"/>
      <c r="S62" s="86"/>
      <c r="T62" s="86"/>
      <c r="U62" s="86"/>
      <c r="V62" s="86"/>
      <c r="W62" s="86"/>
      <c r="X62" s="86"/>
      <c r="Y62" s="86"/>
      <c r="Z62" s="86"/>
      <c r="AA62" s="86"/>
      <c r="AB62" s="86"/>
      <c r="AC62" s="86"/>
      <c r="AD62" s="86"/>
      <c r="AE62" s="86"/>
      <c r="AF62" s="86"/>
      <c r="AG62" s="129"/>
      <c r="AH62" s="134">
        <v>126</v>
      </c>
      <c r="AI62" s="134"/>
      <c r="AJ62" s="134"/>
      <c r="AK62" s="134"/>
      <c r="AL62" s="128">
        <v>72</v>
      </c>
      <c r="AM62" s="128"/>
      <c r="AN62" s="128"/>
      <c r="AO62" s="128"/>
      <c r="AP62" s="128"/>
      <c r="AQ62" s="128"/>
      <c r="AR62" s="154">
        <v>69</v>
      </c>
      <c r="AS62" s="154"/>
      <c r="AT62" s="154"/>
      <c r="AU62" s="154"/>
      <c r="AV62" s="154"/>
      <c r="AW62" s="154"/>
      <c r="AX62" s="154"/>
      <c r="AY62" s="154"/>
    </row>
    <row r="63" s="35" customFormat="1" ht="13.8" spans="1:51">
      <c r="A63" s="85" t="s">
        <v>56</v>
      </c>
      <c r="B63" s="86"/>
      <c r="C63" s="86"/>
      <c r="D63" s="86"/>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6"/>
      <c r="AG63" s="129"/>
      <c r="AH63" s="134">
        <v>130</v>
      </c>
      <c r="AI63" s="134"/>
      <c r="AJ63" s="134"/>
      <c r="AK63" s="134"/>
      <c r="AL63" s="128"/>
      <c r="AM63" s="128"/>
      <c r="AN63" s="128"/>
      <c r="AO63" s="128"/>
      <c r="AP63" s="128"/>
      <c r="AQ63" s="128"/>
      <c r="AR63" s="154"/>
      <c r="AS63" s="154"/>
      <c r="AT63" s="154"/>
      <c r="AU63" s="154"/>
      <c r="AV63" s="154"/>
      <c r="AW63" s="154"/>
      <c r="AX63" s="154"/>
      <c r="AY63" s="154"/>
    </row>
    <row r="64" s="35" customFormat="1" ht="13.8" spans="1:51">
      <c r="A64" s="85" t="s">
        <v>57</v>
      </c>
      <c r="B64" s="86"/>
      <c r="C64" s="86"/>
      <c r="D64" s="86"/>
      <c r="E64" s="86"/>
      <c r="F64" s="86"/>
      <c r="G64" s="86"/>
      <c r="H64" s="86"/>
      <c r="I64" s="86"/>
      <c r="J64" s="86"/>
      <c r="K64" s="86"/>
      <c r="L64" s="86"/>
      <c r="M64" s="86"/>
      <c r="N64" s="86"/>
      <c r="O64" s="86"/>
      <c r="P64" s="86"/>
      <c r="Q64" s="86"/>
      <c r="R64" s="86"/>
      <c r="S64" s="86"/>
      <c r="T64" s="86"/>
      <c r="U64" s="86"/>
      <c r="V64" s="86"/>
      <c r="W64" s="86"/>
      <c r="X64" s="86"/>
      <c r="Y64" s="86"/>
      <c r="Z64" s="86"/>
      <c r="AA64" s="86"/>
      <c r="AB64" s="86"/>
      <c r="AC64" s="86"/>
      <c r="AD64" s="86"/>
      <c r="AE64" s="86"/>
      <c r="AF64" s="86"/>
      <c r="AG64" s="129"/>
      <c r="AH64" s="134">
        <v>131</v>
      </c>
      <c r="AI64" s="134"/>
      <c r="AJ64" s="134"/>
      <c r="AK64" s="134"/>
      <c r="AL64" s="128"/>
      <c r="AM64" s="128"/>
      <c r="AN64" s="128"/>
      <c r="AO64" s="128"/>
      <c r="AP64" s="128"/>
      <c r="AQ64" s="128"/>
      <c r="AR64" s="154"/>
      <c r="AS64" s="154"/>
      <c r="AT64" s="154"/>
      <c r="AU64" s="154"/>
      <c r="AV64" s="154"/>
      <c r="AW64" s="154"/>
      <c r="AX64" s="154"/>
      <c r="AY64" s="154"/>
    </row>
    <row r="65" s="33" customFormat="1" ht="12" spans="1:51">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row>
    <row r="66" ht="15.75" customHeight="1" spans="1:51">
      <c r="A66" s="32"/>
      <c r="B66" s="163"/>
      <c r="C66" s="163"/>
      <c r="D66" s="163"/>
      <c r="E66" s="163"/>
      <c r="F66" s="163"/>
      <c r="G66" s="163"/>
      <c r="H66" s="163"/>
      <c r="I66" s="163"/>
      <c r="J66" s="163"/>
      <c r="K66" s="163"/>
      <c r="L66" s="163"/>
      <c r="M66" s="163"/>
      <c r="N66" s="163"/>
      <c r="O66" s="163"/>
      <c r="P66" s="163"/>
      <c r="Q66" s="163"/>
      <c r="R66" s="163"/>
      <c r="S66" s="163"/>
      <c r="T66" s="163"/>
      <c r="U66" s="163"/>
      <c r="V66" s="163"/>
      <c r="W66" s="164" t="s">
        <v>58</v>
      </c>
      <c r="X66" s="164"/>
      <c r="Y66" s="164"/>
      <c r="Z66" s="164"/>
      <c r="AA66" s="164"/>
      <c r="AB66" s="164"/>
      <c r="AC66" s="163"/>
      <c r="AD66" s="163"/>
      <c r="AE66" s="163"/>
      <c r="AF66" s="163"/>
      <c r="AG66" s="163"/>
      <c r="AH66" s="163"/>
      <c r="AI66" s="163"/>
      <c r="AJ66" s="163"/>
      <c r="AK66" s="163"/>
      <c r="AL66" s="163"/>
      <c r="AM66" s="163"/>
      <c r="AN66" s="163"/>
      <c r="AO66" s="163"/>
      <c r="AP66" s="163"/>
      <c r="AQ66" s="163"/>
      <c r="AR66" s="163"/>
      <c r="AS66" s="163"/>
      <c r="AT66" s="163"/>
      <c r="AU66" s="163"/>
      <c r="AV66" s="163"/>
      <c r="AW66" s="163"/>
      <c r="AX66" s="163"/>
      <c r="AY66" s="163"/>
    </row>
    <row r="67" spans="1:51">
      <c r="A67" s="164" t="s">
        <v>59</v>
      </c>
      <c r="B67" s="164"/>
      <c r="C67" s="164"/>
      <c r="D67" s="164"/>
      <c r="E67" s="164"/>
      <c r="F67" s="164"/>
      <c r="G67" s="164"/>
      <c r="H67" s="164"/>
      <c r="I67" s="164"/>
      <c r="J67" s="164"/>
      <c r="K67" s="164"/>
      <c r="L67" s="164"/>
      <c r="M67" s="164"/>
      <c r="N67" s="164"/>
      <c r="O67" s="164"/>
      <c r="P67" s="164"/>
      <c r="Q67" s="164"/>
      <c r="R67" s="164"/>
      <c r="S67" s="164"/>
      <c r="T67" s="164"/>
      <c r="U67" s="164"/>
      <c r="V67" s="164"/>
      <c r="W67" s="164"/>
      <c r="X67" s="164"/>
      <c r="Y67" s="164"/>
      <c r="Z67" s="164"/>
      <c r="AA67" s="164"/>
      <c r="AB67" s="164"/>
      <c r="AC67" s="164"/>
      <c r="AD67" s="164"/>
      <c r="AE67" s="164"/>
      <c r="AF67" s="164"/>
      <c r="AG67" s="164"/>
      <c r="AH67" s="164"/>
      <c r="AI67" s="164"/>
      <c r="AJ67" s="164"/>
      <c r="AK67" s="164"/>
      <c r="AL67" s="164"/>
      <c r="AM67" s="164"/>
      <c r="AN67" s="164"/>
      <c r="AO67" s="164"/>
      <c r="AP67" s="164"/>
      <c r="AQ67" s="164"/>
      <c r="AR67" s="164"/>
      <c r="AS67" s="164"/>
      <c r="AT67" s="164"/>
      <c r="AU67" s="164"/>
      <c r="AV67" s="164"/>
      <c r="AW67" s="164"/>
      <c r="AX67" s="164"/>
      <c r="AY67" s="164"/>
    </row>
    <row r="68" s="36" customFormat="1" ht="12" spans="1:51">
      <c r="A68" s="79" t="s">
        <v>60</v>
      </c>
      <c r="B68" s="79"/>
      <c r="C68" s="79"/>
      <c r="D68" s="79"/>
      <c r="E68" s="79"/>
      <c r="F68" s="79"/>
      <c r="G68" s="79"/>
      <c r="H68" s="79"/>
      <c r="I68" s="79"/>
      <c r="J68" s="79"/>
      <c r="K68" s="79"/>
      <c r="L68" s="79"/>
      <c r="M68" s="79"/>
      <c r="N68" s="79"/>
      <c r="O68" s="79"/>
      <c r="P68" s="79"/>
      <c r="Q68" s="79"/>
      <c r="R68" s="79"/>
      <c r="S68" s="79"/>
      <c r="T68" s="79"/>
      <c r="U68" s="79"/>
      <c r="V68" s="79"/>
      <c r="W68" s="79"/>
      <c r="X68" s="79"/>
      <c r="Y68" s="79"/>
      <c r="Z68" s="79"/>
      <c r="AA68" s="79"/>
      <c r="AB68" s="79"/>
      <c r="AC68" s="79"/>
      <c r="AD68" s="79"/>
      <c r="AE68" s="79"/>
      <c r="AF68" s="79"/>
      <c r="AG68" s="79"/>
      <c r="AH68" s="79"/>
      <c r="AI68" s="79"/>
      <c r="AJ68" s="79"/>
      <c r="AK68" s="79"/>
      <c r="AL68" s="79"/>
      <c r="AM68" s="79"/>
      <c r="AN68" s="79"/>
      <c r="AO68" s="79"/>
      <c r="AP68" s="79"/>
      <c r="AQ68" s="79"/>
      <c r="AR68" s="79"/>
      <c r="AS68" s="79"/>
      <c r="AT68" s="79"/>
      <c r="AU68" s="79"/>
      <c r="AV68" s="79"/>
      <c r="AW68" s="79"/>
      <c r="AX68" s="79"/>
      <c r="AY68" s="79"/>
    </row>
    <row r="69" s="36" customFormat="1" ht="12" customHeight="1" spans="1:51">
      <c r="A69" s="80" t="s">
        <v>34</v>
      </c>
      <c r="B69" s="80"/>
      <c r="C69" s="80"/>
      <c r="D69" s="80"/>
      <c r="E69" s="80"/>
      <c r="F69" s="80"/>
      <c r="G69" s="80"/>
      <c r="H69" s="80"/>
      <c r="I69" s="80"/>
      <c r="J69" s="80"/>
      <c r="K69" s="80"/>
      <c r="L69" s="80"/>
      <c r="M69" s="80"/>
      <c r="N69" s="80"/>
      <c r="O69" s="80"/>
      <c r="P69" s="80"/>
      <c r="Q69" s="80"/>
      <c r="R69" s="80"/>
      <c r="S69" s="80"/>
      <c r="T69" s="80"/>
      <c r="U69" s="80"/>
      <c r="V69" s="80"/>
      <c r="W69" s="80"/>
      <c r="X69" s="80"/>
      <c r="Y69" s="80"/>
      <c r="Z69" s="80"/>
      <c r="AA69" s="80"/>
      <c r="AB69" s="80"/>
      <c r="AC69" s="80"/>
      <c r="AD69" s="80"/>
      <c r="AE69" s="80"/>
      <c r="AF69" s="80"/>
      <c r="AG69" s="80"/>
      <c r="AH69" s="80"/>
      <c r="AI69" s="80"/>
      <c r="AJ69" s="80"/>
      <c r="AK69" s="80"/>
      <c r="AL69" s="80"/>
      <c r="AM69" s="80"/>
      <c r="AN69" s="80"/>
      <c r="AO69" s="80"/>
      <c r="AP69" s="80"/>
      <c r="AQ69" s="80"/>
      <c r="AR69" s="80"/>
      <c r="AS69" s="80"/>
      <c r="AT69" s="80"/>
      <c r="AU69" s="80"/>
      <c r="AV69" s="80"/>
      <c r="AW69" s="80"/>
      <c r="AX69" s="80"/>
      <c r="AY69" s="80"/>
    </row>
    <row r="70" ht="32.25" customHeight="1" spans="1:51">
      <c r="A70" s="165" t="s">
        <v>35</v>
      </c>
      <c r="B70" s="165"/>
      <c r="C70" s="165"/>
      <c r="D70" s="165"/>
      <c r="E70" s="165"/>
      <c r="F70" s="165"/>
      <c r="G70" s="165"/>
      <c r="H70" s="165"/>
      <c r="I70" s="165"/>
      <c r="J70" s="165"/>
      <c r="K70" s="165" t="s">
        <v>61</v>
      </c>
      <c r="L70" s="165"/>
      <c r="M70" s="165"/>
      <c r="N70" s="165"/>
      <c r="O70" s="241" t="s">
        <v>62</v>
      </c>
      <c r="P70" s="165"/>
      <c r="Q70" s="165"/>
      <c r="R70" s="165"/>
      <c r="S70" s="165"/>
      <c r="T70" s="165"/>
      <c r="U70" s="165"/>
      <c r="V70" s="165"/>
      <c r="W70" s="241" t="s">
        <v>63</v>
      </c>
      <c r="X70" s="165"/>
      <c r="Y70" s="165"/>
      <c r="Z70" s="165"/>
      <c r="AA70" s="165"/>
      <c r="AB70" s="165"/>
      <c r="AC70" s="165"/>
      <c r="AD70" s="165"/>
      <c r="AE70" s="165"/>
      <c r="AF70" s="165"/>
      <c r="AG70" s="241" t="s">
        <v>64</v>
      </c>
      <c r="AH70" s="165"/>
      <c r="AI70" s="165"/>
      <c r="AJ70" s="165"/>
      <c r="AK70" s="165"/>
      <c r="AL70" s="165"/>
      <c r="AM70" s="165"/>
      <c r="AN70" s="165"/>
      <c r="AO70" s="241" t="s">
        <v>65</v>
      </c>
      <c r="AP70" s="165"/>
      <c r="AQ70" s="165"/>
      <c r="AR70" s="165"/>
      <c r="AS70" s="165"/>
      <c r="AT70" s="241" t="s">
        <v>66</v>
      </c>
      <c r="AU70" s="165"/>
      <c r="AV70" s="165"/>
      <c r="AW70" s="165"/>
      <c r="AX70" s="165"/>
      <c r="AY70" s="165"/>
    </row>
    <row r="71" ht="63" customHeight="1" spans="1:51">
      <c r="A71" s="165"/>
      <c r="B71" s="165"/>
      <c r="C71" s="165"/>
      <c r="D71" s="165"/>
      <c r="E71" s="165"/>
      <c r="F71" s="165"/>
      <c r="G71" s="165"/>
      <c r="H71" s="165"/>
      <c r="I71" s="165"/>
      <c r="J71" s="165"/>
      <c r="K71" s="165"/>
      <c r="L71" s="165"/>
      <c r="M71" s="165"/>
      <c r="N71" s="165"/>
      <c r="O71" s="177" t="s">
        <v>67</v>
      </c>
      <c r="P71" s="178"/>
      <c r="Q71" s="191"/>
      <c r="R71" s="242" t="s">
        <v>68</v>
      </c>
      <c r="S71" s="192"/>
      <c r="T71" s="192"/>
      <c r="U71" s="192"/>
      <c r="V71" s="193"/>
      <c r="W71" s="165" t="s">
        <v>67</v>
      </c>
      <c r="X71" s="165"/>
      <c r="Y71" s="165"/>
      <c r="Z71" s="165"/>
      <c r="AA71" s="241" t="s">
        <v>68</v>
      </c>
      <c r="AB71" s="165"/>
      <c r="AC71" s="165"/>
      <c r="AD71" s="165"/>
      <c r="AE71" s="165"/>
      <c r="AF71" s="165"/>
      <c r="AG71" s="165" t="s">
        <v>69</v>
      </c>
      <c r="AH71" s="165"/>
      <c r="AI71" s="165"/>
      <c r="AJ71" s="165"/>
      <c r="AK71" s="165" t="s">
        <v>70</v>
      </c>
      <c r="AL71" s="165"/>
      <c r="AM71" s="165"/>
      <c r="AN71" s="165"/>
      <c r="AO71" s="165"/>
      <c r="AP71" s="165"/>
      <c r="AQ71" s="165"/>
      <c r="AR71" s="165"/>
      <c r="AS71" s="165"/>
      <c r="AT71" s="165"/>
      <c r="AU71" s="165"/>
      <c r="AV71" s="165"/>
      <c r="AW71" s="165"/>
      <c r="AX71" s="165"/>
      <c r="AY71" s="165"/>
    </row>
    <row r="72" spans="1:51">
      <c r="A72" s="165" t="s">
        <v>39</v>
      </c>
      <c r="B72" s="165"/>
      <c r="C72" s="165"/>
      <c r="D72" s="165"/>
      <c r="E72" s="165"/>
      <c r="F72" s="165"/>
      <c r="G72" s="165"/>
      <c r="H72" s="165"/>
      <c r="I72" s="165"/>
      <c r="J72" s="165"/>
      <c r="K72" s="165" t="s">
        <v>40</v>
      </c>
      <c r="L72" s="165"/>
      <c r="M72" s="165"/>
      <c r="N72" s="165"/>
      <c r="O72" s="165">
        <v>1</v>
      </c>
      <c r="P72" s="165"/>
      <c r="Q72" s="165"/>
      <c r="R72" s="165">
        <v>2</v>
      </c>
      <c r="S72" s="165"/>
      <c r="T72" s="165"/>
      <c r="U72" s="165"/>
      <c r="V72" s="165"/>
      <c r="W72" s="165">
        <v>3</v>
      </c>
      <c r="X72" s="165"/>
      <c r="Y72" s="165"/>
      <c r="Z72" s="165"/>
      <c r="AA72" s="165">
        <v>4</v>
      </c>
      <c r="AB72" s="165"/>
      <c r="AC72" s="165"/>
      <c r="AD72" s="165"/>
      <c r="AE72" s="165"/>
      <c r="AF72" s="165"/>
      <c r="AG72" s="165">
        <v>5</v>
      </c>
      <c r="AH72" s="165"/>
      <c r="AI72" s="165"/>
      <c r="AJ72" s="165"/>
      <c r="AK72" s="165">
        <v>6</v>
      </c>
      <c r="AL72" s="165"/>
      <c r="AM72" s="165"/>
      <c r="AN72" s="165"/>
      <c r="AO72" s="165">
        <v>7</v>
      </c>
      <c r="AP72" s="165"/>
      <c r="AQ72" s="165"/>
      <c r="AR72" s="165"/>
      <c r="AS72" s="165"/>
      <c r="AT72" s="165">
        <v>8</v>
      </c>
      <c r="AU72" s="165"/>
      <c r="AV72" s="165"/>
      <c r="AW72" s="165"/>
      <c r="AX72" s="165"/>
      <c r="AY72" s="165"/>
    </row>
    <row r="73" ht="32.25" customHeight="1" spans="1:51">
      <c r="A73" s="243" t="s">
        <v>71</v>
      </c>
      <c r="B73" s="167"/>
      <c r="C73" s="167"/>
      <c r="D73" s="167"/>
      <c r="E73" s="167"/>
      <c r="F73" s="167"/>
      <c r="G73" s="167"/>
      <c r="H73" s="167"/>
      <c r="I73" s="167"/>
      <c r="J73" s="167"/>
      <c r="K73" s="179">
        <v>201</v>
      </c>
      <c r="L73" s="179"/>
      <c r="M73" s="179"/>
      <c r="N73" s="179"/>
      <c r="O73" s="180">
        <f>SUM(O74:Q85)</f>
        <v>4167</v>
      </c>
      <c r="P73" s="180"/>
      <c r="Q73" s="180"/>
      <c r="R73" s="180">
        <f>SUM(R74:V85)</f>
        <v>3198</v>
      </c>
      <c r="S73" s="180"/>
      <c r="T73" s="180"/>
      <c r="U73" s="180"/>
      <c r="V73" s="180"/>
      <c r="W73" s="180">
        <f>SUM(W74:Z85)</f>
        <v>15174</v>
      </c>
      <c r="X73" s="180"/>
      <c r="Y73" s="180"/>
      <c r="Z73" s="180"/>
      <c r="AA73" s="180">
        <f>SUM(AA74:AF85)</f>
        <v>13585</v>
      </c>
      <c r="AB73" s="180"/>
      <c r="AC73" s="180"/>
      <c r="AD73" s="180"/>
      <c r="AE73" s="180"/>
      <c r="AF73" s="180"/>
      <c r="AG73" s="180">
        <f>SUM(AG74:AJ85)</f>
        <v>255</v>
      </c>
      <c r="AH73" s="180"/>
      <c r="AI73" s="180"/>
      <c r="AJ73" s="180"/>
      <c r="AK73" s="180">
        <f>SUM(AK74:AN85)</f>
        <v>842</v>
      </c>
      <c r="AL73" s="180"/>
      <c r="AM73" s="180"/>
      <c r="AN73" s="180"/>
      <c r="AO73" s="212">
        <f>SUM(AO74:AS85)</f>
        <v>2068</v>
      </c>
      <c r="AP73" s="212"/>
      <c r="AQ73" s="212"/>
      <c r="AR73" s="212"/>
      <c r="AS73" s="212"/>
      <c r="AT73" s="180">
        <f>SUM(AT74:AY85)</f>
        <v>11338</v>
      </c>
      <c r="AU73" s="180"/>
      <c r="AV73" s="180"/>
      <c r="AW73" s="180"/>
      <c r="AX73" s="180"/>
      <c r="AY73" s="180"/>
    </row>
    <row r="74" ht="32.25" customHeight="1" spans="1:51">
      <c r="A74" s="167" t="s">
        <v>72</v>
      </c>
      <c r="B74" s="167"/>
      <c r="C74" s="167"/>
      <c r="D74" s="167"/>
      <c r="E74" s="167"/>
      <c r="F74" s="167"/>
      <c r="G74" s="167"/>
      <c r="H74" s="167"/>
      <c r="I74" s="167"/>
      <c r="J74" s="167"/>
      <c r="K74" s="179">
        <v>202</v>
      </c>
      <c r="L74" s="179"/>
      <c r="M74" s="179"/>
      <c r="N74" s="179"/>
      <c r="O74" s="181">
        <v>4051</v>
      </c>
      <c r="P74" s="181"/>
      <c r="Q74" s="181"/>
      <c r="R74" s="181">
        <v>3085</v>
      </c>
      <c r="S74" s="181"/>
      <c r="T74" s="181"/>
      <c r="U74" s="181"/>
      <c r="V74" s="181"/>
      <c r="W74" s="181">
        <v>7165</v>
      </c>
      <c r="X74" s="181"/>
      <c r="Y74" s="181"/>
      <c r="Z74" s="181"/>
      <c r="AA74" s="181">
        <v>5576</v>
      </c>
      <c r="AB74" s="181"/>
      <c r="AC74" s="181"/>
      <c r="AD74" s="181"/>
      <c r="AE74" s="181"/>
      <c r="AF74" s="181"/>
      <c r="AG74" s="181">
        <v>186</v>
      </c>
      <c r="AH74" s="181"/>
      <c r="AI74" s="181"/>
      <c r="AJ74" s="181"/>
      <c r="AK74" s="181">
        <v>766</v>
      </c>
      <c r="AL74" s="181"/>
      <c r="AM74" s="181"/>
      <c r="AN74" s="181"/>
      <c r="AO74" s="216">
        <v>2018</v>
      </c>
      <c r="AP74" s="216"/>
      <c r="AQ74" s="216"/>
      <c r="AR74" s="216"/>
      <c r="AS74" s="216"/>
      <c r="AT74" s="181">
        <v>3495</v>
      </c>
      <c r="AU74" s="181"/>
      <c r="AV74" s="181"/>
      <c r="AW74" s="181"/>
      <c r="AX74" s="181"/>
      <c r="AY74" s="181"/>
    </row>
    <row r="75" spans="1:51">
      <c r="A75" s="167" t="s">
        <v>73</v>
      </c>
      <c r="B75" s="167"/>
      <c r="C75" s="167"/>
      <c r="D75" s="167"/>
      <c r="E75" s="167"/>
      <c r="F75" s="167"/>
      <c r="G75" s="167"/>
      <c r="H75" s="167"/>
      <c r="I75" s="167"/>
      <c r="J75" s="167"/>
      <c r="K75" s="179">
        <v>203</v>
      </c>
      <c r="L75" s="179"/>
      <c r="M75" s="179"/>
      <c r="N75" s="179"/>
      <c r="O75" s="181"/>
      <c r="P75" s="181"/>
      <c r="Q75" s="181"/>
      <c r="R75" s="181"/>
      <c r="S75" s="181"/>
      <c r="T75" s="181"/>
      <c r="U75" s="181"/>
      <c r="V75" s="181"/>
      <c r="W75" s="181">
        <v>408</v>
      </c>
      <c r="X75" s="181"/>
      <c r="Y75" s="181"/>
      <c r="Z75" s="181"/>
      <c r="AA75" s="181">
        <v>408</v>
      </c>
      <c r="AB75" s="181"/>
      <c r="AC75" s="181"/>
      <c r="AD75" s="181"/>
      <c r="AE75" s="181"/>
      <c r="AF75" s="181"/>
      <c r="AG75" s="181"/>
      <c r="AH75" s="181"/>
      <c r="AI75" s="181"/>
      <c r="AJ75" s="181"/>
      <c r="AK75" s="181"/>
      <c r="AL75" s="181"/>
      <c r="AM75" s="181"/>
      <c r="AN75" s="181"/>
      <c r="AO75" s="216"/>
      <c r="AP75" s="216"/>
      <c r="AQ75" s="216"/>
      <c r="AR75" s="216"/>
      <c r="AS75" s="216"/>
      <c r="AT75" s="181">
        <v>408</v>
      </c>
      <c r="AU75" s="181"/>
      <c r="AV75" s="181"/>
      <c r="AW75" s="181"/>
      <c r="AX75" s="181"/>
      <c r="AY75" s="181"/>
    </row>
    <row r="76" spans="1:51">
      <c r="A76" s="167" t="s">
        <v>74</v>
      </c>
      <c r="B76" s="167"/>
      <c r="C76" s="167"/>
      <c r="D76" s="167"/>
      <c r="E76" s="167"/>
      <c r="F76" s="167"/>
      <c r="G76" s="167"/>
      <c r="H76" s="167"/>
      <c r="I76" s="167"/>
      <c r="J76" s="167"/>
      <c r="K76" s="179">
        <v>204</v>
      </c>
      <c r="L76" s="179"/>
      <c r="M76" s="179"/>
      <c r="N76" s="179"/>
      <c r="O76" s="181"/>
      <c r="P76" s="181"/>
      <c r="Q76" s="181"/>
      <c r="R76" s="181"/>
      <c r="S76" s="181"/>
      <c r="T76" s="181"/>
      <c r="U76" s="181"/>
      <c r="V76" s="181"/>
      <c r="W76" s="181"/>
      <c r="X76" s="181"/>
      <c r="Y76" s="181"/>
      <c r="Z76" s="181"/>
      <c r="AA76" s="181"/>
      <c r="AB76" s="181"/>
      <c r="AC76" s="181"/>
      <c r="AD76" s="181"/>
      <c r="AE76" s="181"/>
      <c r="AF76" s="181"/>
      <c r="AG76" s="181"/>
      <c r="AH76" s="181"/>
      <c r="AI76" s="181"/>
      <c r="AJ76" s="181"/>
      <c r="AK76" s="181"/>
      <c r="AL76" s="181"/>
      <c r="AM76" s="181"/>
      <c r="AN76" s="181"/>
      <c r="AO76" s="216"/>
      <c r="AP76" s="216"/>
      <c r="AQ76" s="216"/>
      <c r="AR76" s="216"/>
      <c r="AS76" s="216"/>
      <c r="AT76" s="181"/>
      <c r="AU76" s="181"/>
      <c r="AV76" s="181"/>
      <c r="AW76" s="181"/>
      <c r="AX76" s="181"/>
      <c r="AY76" s="181"/>
    </row>
    <row r="77" spans="1:51">
      <c r="A77" s="167" t="s">
        <v>75</v>
      </c>
      <c r="B77" s="167"/>
      <c r="C77" s="167"/>
      <c r="D77" s="167"/>
      <c r="E77" s="167"/>
      <c r="F77" s="167"/>
      <c r="G77" s="167"/>
      <c r="H77" s="167"/>
      <c r="I77" s="167"/>
      <c r="J77" s="167"/>
      <c r="K77" s="179">
        <v>206</v>
      </c>
      <c r="L77" s="179"/>
      <c r="M77" s="179"/>
      <c r="N77" s="179"/>
      <c r="O77" s="181"/>
      <c r="P77" s="181"/>
      <c r="Q77" s="181"/>
      <c r="R77" s="181"/>
      <c r="S77" s="181"/>
      <c r="T77" s="181"/>
      <c r="U77" s="181"/>
      <c r="V77" s="181"/>
      <c r="W77" s="181">
        <v>221</v>
      </c>
      <c r="X77" s="181"/>
      <c r="Y77" s="181"/>
      <c r="Z77" s="181"/>
      <c r="AA77" s="181">
        <v>221</v>
      </c>
      <c r="AB77" s="181"/>
      <c r="AC77" s="181"/>
      <c r="AD77" s="181"/>
      <c r="AE77" s="181"/>
      <c r="AF77" s="181"/>
      <c r="AG77" s="181"/>
      <c r="AH77" s="181"/>
      <c r="AI77" s="181"/>
      <c r="AJ77" s="181"/>
      <c r="AK77" s="181"/>
      <c r="AL77" s="181"/>
      <c r="AM77" s="181"/>
      <c r="AN77" s="181"/>
      <c r="AO77" s="216"/>
      <c r="AP77" s="216"/>
      <c r="AQ77" s="216"/>
      <c r="AR77" s="216"/>
      <c r="AS77" s="216"/>
      <c r="AT77" s="181">
        <v>221</v>
      </c>
      <c r="AU77" s="181"/>
      <c r="AV77" s="181"/>
      <c r="AW77" s="181"/>
      <c r="AX77" s="181"/>
      <c r="AY77" s="181"/>
    </row>
    <row r="78" spans="1:51">
      <c r="A78" s="167" t="s">
        <v>76</v>
      </c>
      <c r="B78" s="167"/>
      <c r="C78" s="167"/>
      <c r="D78" s="167"/>
      <c r="E78" s="167"/>
      <c r="F78" s="167"/>
      <c r="G78" s="167"/>
      <c r="H78" s="167"/>
      <c r="I78" s="167"/>
      <c r="J78" s="167"/>
      <c r="K78" s="179">
        <v>207</v>
      </c>
      <c r="L78" s="179"/>
      <c r="M78" s="179"/>
      <c r="N78" s="179"/>
      <c r="O78" s="181"/>
      <c r="P78" s="181"/>
      <c r="Q78" s="181"/>
      <c r="R78" s="181"/>
      <c r="S78" s="181"/>
      <c r="T78" s="181"/>
      <c r="U78" s="181"/>
      <c r="V78" s="181"/>
      <c r="W78" s="181"/>
      <c r="X78" s="181"/>
      <c r="Y78" s="181"/>
      <c r="Z78" s="181"/>
      <c r="AA78" s="181"/>
      <c r="AB78" s="181"/>
      <c r="AC78" s="181"/>
      <c r="AD78" s="181"/>
      <c r="AE78" s="181"/>
      <c r="AF78" s="181"/>
      <c r="AG78" s="181"/>
      <c r="AH78" s="181"/>
      <c r="AI78" s="181"/>
      <c r="AJ78" s="181"/>
      <c r="AK78" s="181"/>
      <c r="AL78" s="181"/>
      <c r="AM78" s="181"/>
      <c r="AN78" s="181"/>
      <c r="AO78" s="216"/>
      <c r="AP78" s="216"/>
      <c r="AQ78" s="216"/>
      <c r="AR78" s="216"/>
      <c r="AS78" s="216"/>
      <c r="AT78" s="181"/>
      <c r="AU78" s="181"/>
      <c r="AV78" s="181"/>
      <c r="AW78" s="181"/>
      <c r="AX78" s="181"/>
      <c r="AY78" s="181"/>
    </row>
    <row r="79" spans="1:51">
      <c r="A79" s="167" t="s">
        <v>77</v>
      </c>
      <c r="B79" s="167"/>
      <c r="C79" s="167"/>
      <c r="D79" s="167"/>
      <c r="E79" s="167"/>
      <c r="F79" s="167"/>
      <c r="G79" s="167"/>
      <c r="H79" s="167"/>
      <c r="I79" s="167"/>
      <c r="J79" s="167"/>
      <c r="K79" s="179">
        <v>208</v>
      </c>
      <c r="L79" s="179"/>
      <c r="M79" s="179"/>
      <c r="N79" s="179"/>
      <c r="O79" s="181"/>
      <c r="P79" s="181"/>
      <c r="Q79" s="181"/>
      <c r="R79" s="181"/>
      <c r="S79" s="181"/>
      <c r="T79" s="181"/>
      <c r="U79" s="181"/>
      <c r="V79" s="181"/>
      <c r="W79" s="181"/>
      <c r="X79" s="181"/>
      <c r="Y79" s="181"/>
      <c r="Z79" s="181"/>
      <c r="AA79" s="181"/>
      <c r="AB79" s="181"/>
      <c r="AC79" s="181"/>
      <c r="AD79" s="181"/>
      <c r="AE79" s="181"/>
      <c r="AF79" s="181"/>
      <c r="AG79" s="181"/>
      <c r="AH79" s="181"/>
      <c r="AI79" s="181"/>
      <c r="AJ79" s="181"/>
      <c r="AK79" s="181"/>
      <c r="AL79" s="181"/>
      <c r="AM79" s="181"/>
      <c r="AN79" s="181"/>
      <c r="AO79" s="216"/>
      <c r="AP79" s="216"/>
      <c r="AQ79" s="216"/>
      <c r="AR79" s="216"/>
      <c r="AS79" s="216"/>
      <c r="AT79" s="181"/>
      <c r="AU79" s="181"/>
      <c r="AV79" s="181"/>
      <c r="AW79" s="181"/>
      <c r="AX79" s="181"/>
      <c r="AY79" s="181"/>
    </row>
    <row r="80" spans="1:51">
      <c r="A80" s="167" t="s">
        <v>78</v>
      </c>
      <c r="B80" s="167"/>
      <c r="C80" s="167"/>
      <c r="D80" s="167"/>
      <c r="E80" s="167"/>
      <c r="F80" s="167"/>
      <c r="G80" s="167"/>
      <c r="H80" s="167"/>
      <c r="I80" s="167"/>
      <c r="J80" s="167"/>
      <c r="K80" s="179">
        <v>209</v>
      </c>
      <c r="L80" s="179"/>
      <c r="M80" s="179"/>
      <c r="N80" s="179"/>
      <c r="O80" s="181">
        <v>116</v>
      </c>
      <c r="P80" s="181"/>
      <c r="Q80" s="181"/>
      <c r="R80" s="181">
        <v>113</v>
      </c>
      <c r="S80" s="181"/>
      <c r="T80" s="181"/>
      <c r="U80" s="181"/>
      <c r="V80" s="181"/>
      <c r="W80" s="181">
        <v>7304</v>
      </c>
      <c r="X80" s="181"/>
      <c r="Y80" s="181"/>
      <c r="Z80" s="181"/>
      <c r="AA80" s="181">
        <v>7304</v>
      </c>
      <c r="AB80" s="181"/>
      <c r="AC80" s="181"/>
      <c r="AD80" s="181"/>
      <c r="AE80" s="181"/>
      <c r="AF80" s="181"/>
      <c r="AG80" s="181">
        <v>69</v>
      </c>
      <c r="AH80" s="181"/>
      <c r="AI80" s="181"/>
      <c r="AJ80" s="181"/>
      <c r="AK80" s="181"/>
      <c r="AL80" s="181"/>
      <c r="AM80" s="181"/>
      <c r="AN80" s="181"/>
      <c r="AO80" s="216">
        <v>50</v>
      </c>
      <c r="AP80" s="216"/>
      <c r="AQ80" s="216"/>
      <c r="AR80" s="216"/>
      <c r="AS80" s="216"/>
      <c r="AT80" s="181">
        <v>7138</v>
      </c>
      <c r="AU80" s="181"/>
      <c r="AV80" s="181"/>
      <c r="AW80" s="181"/>
      <c r="AX80" s="181"/>
      <c r="AY80" s="181"/>
    </row>
    <row r="81" spans="1:51">
      <c r="A81" s="167" t="s">
        <v>79</v>
      </c>
      <c r="B81" s="167"/>
      <c r="C81" s="167"/>
      <c r="D81" s="167"/>
      <c r="E81" s="167"/>
      <c r="F81" s="167"/>
      <c r="G81" s="167"/>
      <c r="H81" s="167"/>
      <c r="I81" s="167"/>
      <c r="J81" s="167"/>
      <c r="K81" s="179">
        <v>210</v>
      </c>
      <c r="L81" s="179"/>
      <c r="M81" s="179"/>
      <c r="N81" s="179"/>
      <c r="O81" s="181"/>
      <c r="P81" s="181"/>
      <c r="Q81" s="181"/>
      <c r="R81" s="181"/>
      <c r="S81" s="181"/>
      <c r="T81" s="181"/>
      <c r="U81" s="181"/>
      <c r="V81" s="181"/>
      <c r="W81" s="181"/>
      <c r="X81" s="181"/>
      <c r="Y81" s="181"/>
      <c r="Z81" s="181"/>
      <c r="AA81" s="181"/>
      <c r="AB81" s="181"/>
      <c r="AC81" s="181"/>
      <c r="AD81" s="181"/>
      <c r="AE81" s="181"/>
      <c r="AF81" s="181"/>
      <c r="AG81" s="181"/>
      <c r="AH81" s="181"/>
      <c r="AI81" s="181"/>
      <c r="AJ81" s="181"/>
      <c r="AK81" s="181"/>
      <c r="AL81" s="181"/>
      <c r="AM81" s="181"/>
      <c r="AN81" s="181"/>
      <c r="AO81" s="216"/>
      <c r="AP81" s="216"/>
      <c r="AQ81" s="216"/>
      <c r="AR81" s="216"/>
      <c r="AS81" s="216"/>
      <c r="AT81" s="181"/>
      <c r="AU81" s="181"/>
      <c r="AV81" s="181"/>
      <c r="AW81" s="181"/>
      <c r="AX81" s="181"/>
      <c r="AY81" s="181"/>
    </row>
    <row r="82" spans="1:51">
      <c r="A82" s="167" t="s">
        <v>80</v>
      </c>
      <c r="B82" s="167"/>
      <c r="C82" s="167"/>
      <c r="D82" s="167"/>
      <c r="E82" s="167"/>
      <c r="F82" s="167"/>
      <c r="G82" s="167"/>
      <c r="H82" s="167"/>
      <c r="I82" s="167"/>
      <c r="J82" s="167"/>
      <c r="K82" s="179">
        <v>211</v>
      </c>
      <c r="L82" s="179"/>
      <c r="M82" s="179"/>
      <c r="N82" s="179"/>
      <c r="O82" s="181"/>
      <c r="P82" s="181"/>
      <c r="Q82" s="181"/>
      <c r="R82" s="181"/>
      <c r="S82" s="181"/>
      <c r="T82" s="181"/>
      <c r="U82" s="181"/>
      <c r="V82" s="181"/>
      <c r="W82" s="181"/>
      <c r="X82" s="181"/>
      <c r="Y82" s="181"/>
      <c r="Z82" s="181"/>
      <c r="AA82" s="181"/>
      <c r="AB82" s="181"/>
      <c r="AC82" s="181"/>
      <c r="AD82" s="181"/>
      <c r="AE82" s="181"/>
      <c r="AF82" s="181"/>
      <c r="AG82" s="181"/>
      <c r="AH82" s="181"/>
      <c r="AI82" s="181"/>
      <c r="AJ82" s="181"/>
      <c r="AK82" s="181"/>
      <c r="AL82" s="181"/>
      <c r="AM82" s="181"/>
      <c r="AN82" s="181"/>
      <c r="AO82" s="216"/>
      <c r="AP82" s="216"/>
      <c r="AQ82" s="216"/>
      <c r="AR82" s="216"/>
      <c r="AS82" s="216"/>
      <c r="AT82" s="181"/>
      <c r="AU82" s="181"/>
      <c r="AV82" s="181"/>
      <c r="AW82" s="181"/>
      <c r="AX82" s="181"/>
      <c r="AY82" s="181"/>
    </row>
    <row r="83" spans="1:51">
      <c r="A83" s="167" t="s">
        <v>81</v>
      </c>
      <c r="B83" s="167"/>
      <c r="C83" s="167"/>
      <c r="D83" s="167"/>
      <c r="E83" s="167"/>
      <c r="F83" s="167"/>
      <c r="G83" s="167"/>
      <c r="H83" s="167"/>
      <c r="I83" s="167"/>
      <c r="J83" s="167"/>
      <c r="K83" s="179">
        <v>212</v>
      </c>
      <c r="L83" s="179"/>
      <c r="M83" s="179"/>
      <c r="N83" s="179"/>
      <c r="O83" s="181"/>
      <c r="P83" s="181"/>
      <c r="Q83" s="181"/>
      <c r="R83" s="181"/>
      <c r="S83" s="181"/>
      <c r="T83" s="181"/>
      <c r="U83" s="181"/>
      <c r="V83" s="181"/>
      <c r="W83" s="181"/>
      <c r="X83" s="181"/>
      <c r="Y83" s="181"/>
      <c r="Z83" s="181"/>
      <c r="AA83" s="181"/>
      <c r="AB83" s="181"/>
      <c r="AC83" s="181"/>
      <c r="AD83" s="181"/>
      <c r="AE83" s="181"/>
      <c r="AF83" s="181"/>
      <c r="AG83" s="181"/>
      <c r="AH83" s="181"/>
      <c r="AI83" s="181"/>
      <c r="AJ83" s="181"/>
      <c r="AK83" s="181"/>
      <c r="AL83" s="181"/>
      <c r="AM83" s="181"/>
      <c r="AN83" s="181"/>
      <c r="AO83" s="216"/>
      <c r="AP83" s="216"/>
      <c r="AQ83" s="216"/>
      <c r="AR83" s="216"/>
      <c r="AS83" s="216"/>
      <c r="AT83" s="181"/>
      <c r="AU83" s="181"/>
      <c r="AV83" s="181"/>
      <c r="AW83" s="181"/>
      <c r="AX83" s="181"/>
      <c r="AY83" s="181"/>
    </row>
    <row r="84" spans="1:51">
      <c r="A84" s="167" t="s">
        <v>82</v>
      </c>
      <c r="B84" s="167"/>
      <c r="C84" s="167"/>
      <c r="D84" s="167"/>
      <c r="E84" s="167"/>
      <c r="F84" s="167"/>
      <c r="G84" s="167"/>
      <c r="H84" s="167"/>
      <c r="I84" s="167"/>
      <c r="J84" s="167"/>
      <c r="K84" s="179">
        <v>213</v>
      </c>
      <c r="L84" s="179"/>
      <c r="M84" s="179"/>
      <c r="N84" s="179"/>
      <c r="O84" s="181"/>
      <c r="P84" s="181"/>
      <c r="Q84" s="181"/>
      <c r="R84" s="181"/>
      <c r="S84" s="181"/>
      <c r="T84" s="181"/>
      <c r="U84" s="181"/>
      <c r="V84" s="181"/>
      <c r="W84" s="181">
        <v>76</v>
      </c>
      <c r="X84" s="181"/>
      <c r="Y84" s="181"/>
      <c r="Z84" s="181"/>
      <c r="AA84" s="181">
        <v>76</v>
      </c>
      <c r="AB84" s="181"/>
      <c r="AC84" s="181"/>
      <c r="AD84" s="181"/>
      <c r="AE84" s="181"/>
      <c r="AF84" s="181"/>
      <c r="AG84" s="181"/>
      <c r="AH84" s="181"/>
      <c r="AI84" s="181"/>
      <c r="AJ84" s="181"/>
      <c r="AK84" s="181">
        <v>76</v>
      </c>
      <c r="AL84" s="181"/>
      <c r="AM84" s="181"/>
      <c r="AN84" s="181"/>
      <c r="AO84" s="216"/>
      <c r="AP84" s="216"/>
      <c r="AQ84" s="216"/>
      <c r="AR84" s="216"/>
      <c r="AS84" s="216"/>
      <c r="AT84" s="181">
        <v>76</v>
      </c>
      <c r="AU84" s="181"/>
      <c r="AV84" s="181"/>
      <c r="AW84" s="181"/>
      <c r="AX84" s="181"/>
      <c r="AY84" s="181"/>
    </row>
    <row r="85" spans="1:51">
      <c r="A85" s="167" t="s">
        <v>83</v>
      </c>
      <c r="B85" s="167"/>
      <c r="C85" s="167"/>
      <c r="D85" s="167"/>
      <c r="E85" s="167"/>
      <c r="F85" s="167"/>
      <c r="G85" s="167"/>
      <c r="H85" s="167"/>
      <c r="I85" s="167"/>
      <c r="J85" s="167"/>
      <c r="K85" s="179">
        <v>217</v>
      </c>
      <c r="L85" s="179"/>
      <c r="M85" s="179"/>
      <c r="N85" s="179"/>
      <c r="O85" s="181"/>
      <c r="P85" s="181"/>
      <c r="Q85" s="181"/>
      <c r="R85" s="181"/>
      <c r="S85" s="181"/>
      <c r="T85" s="181"/>
      <c r="U85" s="181"/>
      <c r="V85" s="181"/>
      <c r="W85" s="181"/>
      <c r="X85" s="181"/>
      <c r="Y85" s="181"/>
      <c r="Z85" s="181"/>
      <c r="AA85" s="181"/>
      <c r="AB85" s="181"/>
      <c r="AC85" s="181"/>
      <c r="AD85" s="181"/>
      <c r="AE85" s="181"/>
      <c r="AF85" s="181"/>
      <c r="AG85" s="181"/>
      <c r="AH85" s="181"/>
      <c r="AI85" s="181"/>
      <c r="AJ85" s="181"/>
      <c r="AK85" s="181"/>
      <c r="AL85" s="181"/>
      <c r="AM85" s="181"/>
      <c r="AN85" s="181"/>
      <c r="AO85" s="216"/>
      <c r="AP85" s="216"/>
      <c r="AQ85" s="216"/>
      <c r="AR85" s="216"/>
      <c r="AS85" s="216"/>
      <c r="AT85" s="181"/>
      <c r="AU85" s="181"/>
      <c r="AV85" s="181"/>
      <c r="AW85" s="181"/>
      <c r="AX85" s="181"/>
      <c r="AY85" s="181"/>
    </row>
    <row r="86" ht="48" customHeight="1" spans="1:51">
      <c r="A86" s="243" t="s">
        <v>84</v>
      </c>
      <c r="B86" s="167"/>
      <c r="C86" s="167"/>
      <c r="D86" s="167"/>
      <c r="E86" s="167"/>
      <c r="F86" s="167"/>
      <c r="G86" s="167"/>
      <c r="H86" s="167"/>
      <c r="I86" s="167"/>
      <c r="J86" s="167"/>
      <c r="K86" s="179">
        <v>218</v>
      </c>
      <c r="L86" s="179"/>
      <c r="M86" s="179"/>
      <c r="N86" s="179"/>
      <c r="O86" s="181"/>
      <c r="P86" s="181"/>
      <c r="Q86" s="181"/>
      <c r="R86" s="181"/>
      <c r="S86" s="181"/>
      <c r="T86" s="181"/>
      <c r="U86" s="181"/>
      <c r="V86" s="181"/>
      <c r="W86" s="181"/>
      <c r="X86" s="181"/>
      <c r="Y86" s="181"/>
      <c r="Z86" s="181"/>
      <c r="AA86" s="181"/>
      <c r="AB86" s="181"/>
      <c r="AC86" s="181"/>
      <c r="AD86" s="181"/>
      <c r="AE86" s="181"/>
      <c r="AF86" s="181"/>
      <c r="AG86" s="181"/>
      <c r="AH86" s="181"/>
      <c r="AI86" s="181"/>
      <c r="AJ86" s="181"/>
      <c r="AK86" s="181"/>
      <c r="AL86" s="181"/>
      <c r="AM86" s="181"/>
      <c r="AN86" s="181"/>
      <c r="AO86" s="216"/>
      <c r="AP86" s="216"/>
      <c r="AQ86" s="216"/>
      <c r="AR86" s="216"/>
      <c r="AS86" s="216"/>
      <c r="AT86" s="181"/>
      <c r="AU86" s="181"/>
      <c r="AV86" s="181"/>
      <c r="AW86" s="181"/>
      <c r="AX86" s="181"/>
      <c r="AY86" s="181"/>
    </row>
    <row r="87" ht="31.5" customHeight="1" spans="1:51">
      <c r="A87" s="243" t="s">
        <v>85</v>
      </c>
      <c r="B87" s="167"/>
      <c r="C87" s="167"/>
      <c r="D87" s="167"/>
      <c r="E87" s="167"/>
      <c r="F87" s="167"/>
      <c r="G87" s="167"/>
      <c r="H87" s="167"/>
      <c r="I87" s="167"/>
      <c r="J87" s="167"/>
      <c r="K87" s="179">
        <v>220</v>
      </c>
      <c r="L87" s="179"/>
      <c r="M87" s="179"/>
      <c r="N87" s="179"/>
      <c r="O87" s="181"/>
      <c r="P87" s="181"/>
      <c r="Q87" s="181"/>
      <c r="R87" s="181"/>
      <c r="S87" s="181"/>
      <c r="T87" s="181"/>
      <c r="U87" s="181"/>
      <c r="V87" s="181"/>
      <c r="W87" s="181"/>
      <c r="X87" s="181"/>
      <c r="Y87" s="181"/>
      <c r="Z87" s="181"/>
      <c r="AA87" s="181"/>
      <c r="AB87" s="181"/>
      <c r="AC87" s="181"/>
      <c r="AD87" s="181"/>
      <c r="AE87" s="181"/>
      <c r="AF87" s="181"/>
      <c r="AG87" s="181"/>
      <c r="AH87" s="181"/>
      <c r="AI87" s="181"/>
      <c r="AJ87" s="181"/>
      <c r="AK87" s="181"/>
      <c r="AL87" s="181"/>
      <c r="AM87" s="181"/>
      <c r="AN87" s="181"/>
      <c r="AO87" s="216"/>
      <c r="AP87" s="216"/>
      <c r="AQ87" s="216"/>
      <c r="AR87" s="216"/>
      <c r="AS87" s="216"/>
      <c r="AT87" s="181"/>
      <c r="AU87" s="181"/>
      <c r="AV87" s="181"/>
      <c r="AW87" s="181"/>
      <c r="AX87" s="181"/>
      <c r="AY87" s="181"/>
    </row>
    <row r="88" spans="1:51">
      <c r="A88" s="166" t="s">
        <v>86</v>
      </c>
      <c r="B88" s="167"/>
      <c r="C88" s="167"/>
      <c r="D88" s="167"/>
      <c r="E88" s="167"/>
      <c r="F88" s="167"/>
      <c r="G88" s="167"/>
      <c r="H88" s="167"/>
      <c r="I88" s="167"/>
      <c r="J88" s="167"/>
      <c r="K88" s="179">
        <v>221</v>
      </c>
      <c r="L88" s="179"/>
      <c r="M88" s="179"/>
      <c r="N88" s="179"/>
      <c r="O88" s="181"/>
      <c r="P88" s="181"/>
      <c r="Q88" s="181"/>
      <c r="R88" s="181"/>
      <c r="S88" s="181"/>
      <c r="T88" s="181"/>
      <c r="U88" s="181"/>
      <c r="V88" s="181"/>
      <c r="W88" s="181"/>
      <c r="X88" s="181"/>
      <c r="Y88" s="181"/>
      <c r="Z88" s="181"/>
      <c r="AA88" s="181"/>
      <c r="AB88" s="181"/>
      <c r="AC88" s="181"/>
      <c r="AD88" s="181"/>
      <c r="AE88" s="181"/>
      <c r="AF88" s="181"/>
      <c r="AG88" s="181"/>
      <c r="AH88" s="181"/>
      <c r="AI88" s="181"/>
      <c r="AJ88" s="181"/>
      <c r="AK88" s="181"/>
      <c r="AL88" s="181"/>
      <c r="AM88" s="181"/>
      <c r="AN88" s="181"/>
      <c r="AO88" s="216"/>
      <c r="AP88" s="216"/>
      <c r="AQ88" s="216"/>
      <c r="AR88" s="216"/>
      <c r="AS88" s="216"/>
      <c r="AT88" s="181"/>
      <c r="AU88" s="181"/>
      <c r="AV88" s="181"/>
      <c r="AW88" s="181"/>
      <c r="AX88" s="181"/>
      <c r="AY88" s="181"/>
    </row>
    <row r="89" s="37" customFormat="1" ht="13.2" spans="1:51">
      <c r="A89" s="168"/>
      <c r="B89" s="168"/>
      <c r="C89" s="168"/>
      <c r="D89" s="168"/>
      <c r="E89" s="168"/>
      <c r="F89" s="168"/>
      <c r="G89" s="168"/>
      <c r="H89" s="168"/>
      <c r="I89" s="168"/>
      <c r="J89" s="168"/>
      <c r="K89" s="168"/>
      <c r="L89" s="182"/>
      <c r="M89" s="182"/>
      <c r="N89" s="182"/>
      <c r="O89" s="183"/>
      <c r="P89" s="183"/>
      <c r="Q89" s="183"/>
      <c r="R89" s="183"/>
      <c r="S89" s="183"/>
      <c r="T89" s="183"/>
      <c r="U89" s="183"/>
      <c r="V89" s="183"/>
      <c r="W89" s="183"/>
      <c r="X89" s="183"/>
      <c r="Y89" s="183"/>
      <c r="Z89" s="183"/>
      <c r="AA89" s="183"/>
      <c r="AB89" s="183"/>
      <c r="AC89" s="183"/>
      <c r="AD89" s="183"/>
      <c r="AE89" s="183"/>
      <c r="AF89" s="183"/>
      <c r="AG89" s="183"/>
      <c r="AH89" s="183"/>
      <c r="AI89" s="183"/>
      <c r="AJ89" s="183"/>
      <c r="AK89" s="183"/>
      <c r="AL89" s="183"/>
      <c r="AM89" s="183"/>
      <c r="AN89" s="183"/>
      <c r="AO89" s="183"/>
      <c r="AP89" s="183"/>
      <c r="AQ89" s="183"/>
      <c r="AR89" s="183"/>
      <c r="AS89" s="183"/>
      <c r="AT89" s="183"/>
      <c r="AU89" s="183"/>
      <c r="AV89" s="183"/>
      <c r="AW89" s="183"/>
      <c r="AX89" s="183"/>
      <c r="AY89" s="183"/>
    </row>
    <row r="90" ht="15.75" customHeight="1" spans="2:51">
      <c r="B90" s="163"/>
      <c r="C90" s="163"/>
      <c r="D90" s="163"/>
      <c r="E90" s="163"/>
      <c r="F90" s="163"/>
      <c r="G90" s="163"/>
      <c r="H90" s="163"/>
      <c r="I90" s="163"/>
      <c r="J90" s="163"/>
      <c r="K90" s="163"/>
      <c r="L90" s="163"/>
      <c r="M90" s="163"/>
      <c r="N90" s="163"/>
      <c r="O90" s="163"/>
      <c r="P90" s="163"/>
      <c r="Q90" s="163"/>
      <c r="R90" s="163"/>
      <c r="S90" s="163"/>
      <c r="T90" s="163"/>
      <c r="U90" s="163"/>
      <c r="V90" s="163"/>
      <c r="W90" s="163"/>
      <c r="X90" s="164" t="s">
        <v>87</v>
      </c>
      <c r="Y90" s="164"/>
      <c r="Z90" s="164"/>
      <c r="AA90" s="164"/>
      <c r="AB90" s="164"/>
      <c r="AC90" s="163"/>
      <c r="AD90" s="163"/>
      <c r="AE90" s="163"/>
      <c r="AF90" s="163"/>
      <c r="AG90" s="163"/>
      <c r="AH90" s="163"/>
      <c r="AI90" s="163"/>
      <c r="AJ90" s="163"/>
      <c r="AK90" s="163"/>
      <c r="AL90" s="163"/>
      <c r="AM90" s="163"/>
      <c r="AN90" s="163"/>
      <c r="AO90" s="163"/>
      <c r="AP90" s="163"/>
      <c r="AQ90" s="163"/>
      <c r="AR90" s="163"/>
      <c r="AS90" s="163"/>
      <c r="AT90" s="163"/>
      <c r="AU90" s="163"/>
      <c r="AV90" s="163"/>
      <c r="AW90" s="163"/>
      <c r="AX90" s="163"/>
      <c r="AY90" s="163"/>
    </row>
    <row r="91" customFormat="1" ht="15.75" customHeight="1" spans="1:51">
      <c r="A91" s="164" t="s">
        <v>88</v>
      </c>
      <c r="B91" s="164"/>
      <c r="C91" s="164"/>
      <c r="D91" s="164"/>
      <c r="E91" s="164"/>
      <c r="F91" s="164"/>
      <c r="G91" s="164"/>
      <c r="H91" s="164"/>
      <c r="I91" s="164"/>
      <c r="J91" s="164"/>
      <c r="K91" s="164"/>
      <c r="L91" s="164"/>
      <c r="M91" s="164"/>
      <c r="N91" s="164"/>
      <c r="O91" s="164"/>
      <c r="P91" s="164"/>
      <c r="Q91" s="164"/>
      <c r="R91" s="164"/>
      <c r="S91" s="164"/>
      <c r="T91" s="164"/>
      <c r="U91" s="164"/>
      <c r="V91" s="164"/>
      <c r="W91" s="164"/>
      <c r="X91" s="164"/>
      <c r="Y91" s="164"/>
      <c r="Z91" s="164"/>
      <c r="AA91" s="164"/>
      <c r="AB91" s="164"/>
      <c r="AC91" s="164"/>
      <c r="AD91" s="164"/>
      <c r="AE91" s="164"/>
      <c r="AF91" s="164"/>
      <c r="AG91" s="164"/>
      <c r="AH91" s="164"/>
      <c r="AI91" s="164"/>
      <c r="AJ91" s="164"/>
      <c r="AK91" s="164"/>
      <c r="AL91" s="164"/>
      <c r="AM91" s="164"/>
      <c r="AN91" s="164"/>
      <c r="AO91" s="164"/>
      <c r="AP91" s="164"/>
      <c r="AQ91" s="164"/>
      <c r="AR91" s="164"/>
      <c r="AS91" s="164"/>
      <c r="AT91" s="164"/>
      <c r="AU91" s="164"/>
      <c r="AV91" s="164"/>
      <c r="AW91" s="164"/>
      <c r="AX91" s="164"/>
      <c r="AY91" s="164"/>
    </row>
    <row r="92" s="36" customFormat="1" ht="12" spans="1:51">
      <c r="A92" s="79" t="s">
        <v>89</v>
      </c>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c r="AO92" s="79"/>
      <c r="AP92" s="79"/>
      <c r="AQ92" s="79"/>
      <c r="AR92" s="79"/>
      <c r="AS92" s="79"/>
      <c r="AT92" s="79"/>
      <c r="AU92" s="79"/>
      <c r="AV92" s="79"/>
      <c r="AW92" s="79"/>
      <c r="AX92" s="79"/>
      <c r="AY92" s="79"/>
    </row>
    <row r="93" s="36" customFormat="1" ht="12" customHeight="1" spans="1:51">
      <c r="A93" s="80" t="s">
        <v>34</v>
      </c>
      <c r="B93" s="80"/>
      <c r="C93" s="80"/>
      <c r="D93" s="80"/>
      <c r="E93" s="80"/>
      <c r="F93" s="80"/>
      <c r="G93" s="80"/>
      <c r="H93" s="80"/>
      <c r="I93" s="80"/>
      <c r="J93" s="80"/>
      <c r="K93" s="80"/>
      <c r="L93" s="80"/>
      <c r="M93" s="80"/>
      <c r="N93" s="80"/>
      <c r="O93" s="80"/>
      <c r="P93" s="80"/>
      <c r="Q93" s="80"/>
      <c r="R93" s="80"/>
      <c r="S93" s="80"/>
      <c r="T93" s="80"/>
      <c r="U93" s="80"/>
      <c r="V93" s="80"/>
      <c r="W93" s="80"/>
      <c r="X93" s="80"/>
      <c r="Y93" s="80"/>
      <c r="Z93" s="80"/>
      <c r="AA93" s="80"/>
      <c r="AB93" s="80"/>
      <c r="AC93" s="80"/>
      <c r="AD93" s="80"/>
      <c r="AE93" s="80"/>
      <c r="AF93" s="80"/>
      <c r="AG93" s="80"/>
      <c r="AH93" s="80"/>
      <c r="AI93" s="80"/>
      <c r="AJ93" s="80"/>
      <c r="AK93" s="80"/>
      <c r="AL93" s="80"/>
      <c r="AM93" s="80"/>
      <c r="AN93" s="80"/>
      <c r="AO93" s="80"/>
      <c r="AP93" s="80"/>
      <c r="AQ93" s="80"/>
      <c r="AR93" s="80"/>
      <c r="AS93" s="80"/>
      <c r="AT93" s="80"/>
      <c r="AU93" s="80"/>
      <c r="AV93" s="80"/>
      <c r="AW93" s="80"/>
      <c r="AX93" s="80"/>
      <c r="AY93" s="80"/>
    </row>
    <row r="94" spans="1:51">
      <c r="A94" s="165" t="s">
        <v>90</v>
      </c>
      <c r="B94" s="165"/>
      <c r="C94" s="165"/>
      <c r="D94" s="165"/>
      <c r="E94" s="165"/>
      <c r="F94" s="165"/>
      <c r="G94" s="165"/>
      <c r="H94" s="165"/>
      <c r="I94" s="165"/>
      <c r="J94" s="165" t="s">
        <v>36</v>
      </c>
      <c r="K94" s="165"/>
      <c r="L94" s="165"/>
      <c r="M94" s="244" t="s">
        <v>91</v>
      </c>
      <c r="N94" s="185"/>
      <c r="O94" s="185"/>
      <c r="P94" s="185"/>
      <c r="Q94" s="185"/>
      <c r="R94" s="185"/>
      <c r="S94" s="185"/>
      <c r="T94" s="185"/>
      <c r="U94" s="165" t="s">
        <v>92</v>
      </c>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241" t="s">
        <v>93</v>
      </c>
      <c r="AU94" s="165"/>
      <c r="AV94" s="165"/>
      <c r="AW94" s="165"/>
      <c r="AX94" s="165"/>
      <c r="AY94" s="165"/>
    </row>
    <row r="95" ht="48.75" customHeight="1" spans="1:51">
      <c r="A95" s="165"/>
      <c r="B95" s="165"/>
      <c r="C95" s="165"/>
      <c r="D95" s="165"/>
      <c r="E95" s="165"/>
      <c r="F95" s="165"/>
      <c r="G95" s="165"/>
      <c r="H95" s="165"/>
      <c r="I95" s="165"/>
      <c r="J95" s="165"/>
      <c r="K95" s="165"/>
      <c r="L95" s="165"/>
      <c r="M95" s="186"/>
      <c r="N95" s="187"/>
      <c r="O95" s="187"/>
      <c r="P95" s="187"/>
      <c r="Q95" s="187"/>
      <c r="R95" s="187"/>
      <c r="S95" s="187"/>
      <c r="T95" s="187"/>
      <c r="U95" s="241" t="s">
        <v>94</v>
      </c>
      <c r="V95" s="165"/>
      <c r="W95" s="165"/>
      <c r="X95" s="165"/>
      <c r="Y95" s="165"/>
      <c r="Z95" s="165"/>
      <c r="AA95" s="165"/>
      <c r="AB95" s="165"/>
      <c r="AC95" s="241" t="s">
        <v>95</v>
      </c>
      <c r="AD95" s="165"/>
      <c r="AE95" s="165"/>
      <c r="AF95" s="165"/>
      <c r="AG95" s="165"/>
      <c r="AH95" s="165"/>
      <c r="AI95" s="165"/>
      <c r="AJ95" s="165"/>
      <c r="AK95" s="165"/>
      <c r="AL95" s="242" t="s">
        <v>96</v>
      </c>
      <c r="AM95" s="178"/>
      <c r="AN95" s="178"/>
      <c r="AO95" s="178"/>
      <c r="AP95" s="178"/>
      <c r="AQ95" s="178"/>
      <c r="AR95" s="178"/>
      <c r="AS95" s="191"/>
      <c r="AT95" s="165"/>
      <c r="AU95" s="165"/>
      <c r="AV95" s="165"/>
      <c r="AW95" s="165"/>
      <c r="AX95" s="165"/>
      <c r="AY95" s="165"/>
    </row>
    <row r="96" ht="48" customHeight="1" spans="1:51">
      <c r="A96" s="165"/>
      <c r="B96" s="165"/>
      <c r="C96" s="165"/>
      <c r="D96" s="165"/>
      <c r="E96" s="165"/>
      <c r="F96" s="165"/>
      <c r="G96" s="165"/>
      <c r="H96" s="165"/>
      <c r="I96" s="165"/>
      <c r="J96" s="165"/>
      <c r="K96" s="165"/>
      <c r="L96" s="165"/>
      <c r="M96" s="241" t="s">
        <v>67</v>
      </c>
      <c r="N96" s="165"/>
      <c r="O96" s="165"/>
      <c r="P96" s="165"/>
      <c r="Q96" s="241" t="s">
        <v>97</v>
      </c>
      <c r="R96" s="165"/>
      <c r="S96" s="165"/>
      <c r="T96" s="165"/>
      <c r="U96" s="165" t="s">
        <v>67</v>
      </c>
      <c r="V96" s="165"/>
      <c r="W96" s="165"/>
      <c r="X96" s="165"/>
      <c r="Y96" s="242" t="s">
        <v>97</v>
      </c>
      <c r="Z96" s="178"/>
      <c r="AA96" s="178"/>
      <c r="AB96" s="191"/>
      <c r="AC96" s="165" t="s">
        <v>67</v>
      </c>
      <c r="AD96" s="165"/>
      <c r="AE96" s="165"/>
      <c r="AF96" s="165"/>
      <c r="AG96" s="165"/>
      <c r="AH96" s="241" t="s">
        <v>98</v>
      </c>
      <c r="AI96" s="165"/>
      <c r="AJ96" s="165"/>
      <c r="AK96" s="165"/>
      <c r="AL96" s="165" t="s">
        <v>67</v>
      </c>
      <c r="AM96" s="165"/>
      <c r="AN96" s="165"/>
      <c r="AO96" s="165"/>
      <c r="AP96" s="241" t="s">
        <v>97</v>
      </c>
      <c r="AQ96" s="165"/>
      <c r="AR96" s="165"/>
      <c r="AS96" s="165"/>
      <c r="AT96" s="165"/>
      <c r="AU96" s="165"/>
      <c r="AV96" s="165"/>
      <c r="AW96" s="165"/>
      <c r="AX96" s="165"/>
      <c r="AY96" s="165"/>
    </row>
    <row r="97" spans="1:51">
      <c r="A97" s="165" t="s">
        <v>39</v>
      </c>
      <c r="B97" s="165"/>
      <c r="C97" s="165"/>
      <c r="D97" s="165"/>
      <c r="E97" s="165"/>
      <c r="F97" s="165"/>
      <c r="G97" s="165"/>
      <c r="H97" s="165"/>
      <c r="I97" s="165"/>
      <c r="J97" s="165" t="s">
        <v>40</v>
      </c>
      <c r="K97" s="165"/>
      <c r="L97" s="165"/>
      <c r="M97" s="165">
        <v>1</v>
      </c>
      <c r="N97" s="165"/>
      <c r="O97" s="165"/>
      <c r="P97" s="165"/>
      <c r="Q97" s="177">
        <v>2</v>
      </c>
      <c r="R97" s="178"/>
      <c r="S97" s="178"/>
      <c r="T97" s="191"/>
      <c r="U97" s="165">
        <v>3</v>
      </c>
      <c r="V97" s="165"/>
      <c r="W97" s="165"/>
      <c r="X97" s="165"/>
      <c r="Y97" s="177">
        <v>4</v>
      </c>
      <c r="Z97" s="178"/>
      <c r="AA97" s="178"/>
      <c r="AB97" s="191"/>
      <c r="AC97" s="165">
        <v>5</v>
      </c>
      <c r="AD97" s="165"/>
      <c r="AE97" s="165"/>
      <c r="AF97" s="165"/>
      <c r="AG97" s="165"/>
      <c r="AH97" s="165">
        <v>6</v>
      </c>
      <c r="AI97" s="165"/>
      <c r="AJ97" s="165"/>
      <c r="AK97" s="165"/>
      <c r="AL97" s="165">
        <v>7</v>
      </c>
      <c r="AM97" s="165"/>
      <c r="AN97" s="165"/>
      <c r="AO97" s="165"/>
      <c r="AP97" s="165">
        <v>8</v>
      </c>
      <c r="AQ97" s="165"/>
      <c r="AR97" s="165"/>
      <c r="AS97" s="165"/>
      <c r="AT97" s="165">
        <v>9</v>
      </c>
      <c r="AU97" s="165"/>
      <c r="AV97" s="165"/>
      <c r="AW97" s="165"/>
      <c r="AX97" s="165"/>
      <c r="AY97" s="165"/>
    </row>
    <row r="98" ht="33" customHeight="1" spans="1:51">
      <c r="A98" s="243" t="s">
        <v>99</v>
      </c>
      <c r="B98" s="167"/>
      <c r="C98" s="167"/>
      <c r="D98" s="167"/>
      <c r="E98" s="167"/>
      <c r="F98" s="167"/>
      <c r="G98" s="167"/>
      <c r="H98" s="167"/>
      <c r="I98" s="167"/>
      <c r="J98" s="179">
        <v>301</v>
      </c>
      <c r="K98" s="179"/>
      <c r="L98" s="179"/>
      <c r="M98" s="180">
        <f>SUM(M99:P101)</f>
        <v>0</v>
      </c>
      <c r="N98" s="180"/>
      <c r="O98" s="180"/>
      <c r="P98" s="180"/>
      <c r="Q98" s="194">
        <f>SUM(Q99:T101)</f>
        <v>0</v>
      </c>
      <c r="R98" s="195"/>
      <c r="S98" s="195"/>
      <c r="T98" s="196"/>
      <c r="U98" s="180">
        <f>SUM(U99:X101)</f>
        <v>0</v>
      </c>
      <c r="V98" s="180"/>
      <c r="W98" s="180"/>
      <c r="X98" s="180"/>
      <c r="Y98" s="194">
        <f>SUM(Y99:AB101)</f>
        <v>0</v>
      </c>
      <c r="Z98" s="195"/>
      <c r="AA98" s="195"/>
      <c r="AB98" s="196"/>
      <c r="AC98" s="180">
        <f>SUM(AC99:AG101)</f>
        <v>0</v>
      </c>
      <c r="AD98" s="180"/>
      <c r="AE98" s="180"/>
      <c r="AF98" s="180"/>
      <c r="AG98" s="180"/>
      <c r="AH98" s="209">
        <f>SUM(AH99:AK101)</f>
        <v>0</v>
      </c>
      <c r="AI98" s="210"/>
      <c r="AJ98" s="210"/>
      <c r="AK98" s="211"/>
      <c r="AL98" s="212">
        <f>SUM(AL99:AO101)</f>
        <v>0</v>
      </c>
      <c r="AM98" s="212"/>
      <c r="AN98" s="212"/>
      <c r="AO98" s="212"/>
      <c r="AP98" s="180">
        <f>SUM(AP99:AS101)</f>
        <v>0</v>
      </c>
      <c r="AQ98" s="180"/>
      <c r="AR98" s="180"/>
      <c r="AS98" s="180"/>
      <c r="AT98" s="180">
        <f>SUM(AT99:AY101)</f>
        <v>0</v>
      </c>
      <c r="AU98" s="180"/>
      <c r="AV98" s="180"/>
      <c r="AW98" s="180"/>
      <c r="AX98" s="180"/>
      <c r="AY98" s="180"/>
    </row>
    <row r="99" ht="33" customHeight="1" spans="1:51">
      <c r="A99" s="243" t="s">
        <v>100</v>
      </c>
      <c r="B99" s="167"/>
      <c r="C99" s="167"/>
      <c r="D99" s="167"/>
      <c r="E99" s="167"/>
      <c r="F99" s="167"/>
      <c r="G99" s="167"/>
      <c r="H99" s="167"/>
      <c r="I99" s="167"/>
      <c r="J99" s="179">
        <v>302</v>
      </c>
      <c r="K99" s="179"/>
      <c r="L99" s="179"/>
      <c r="M99" s="181"/>
      <c r="N99" s="181"/>
      <c r="O99" s="181"/>
      <c r="P99" s="181"/>
      <c r="Q99" s="197"/>
      <c r="R99" s="198"/>
      <c r="S99" s="198"/>
      <c r="T99" s="199"/>
      <c r="U99" s="181"/>
      <c r="V99" s="181"/>
      <c r="W99" s="181"/>
      <c r="X99" s="181"/>
      <c r="Y99" s="197"/>
      <c r="Z99" s="198"/>
      <c r="AA99" s="198"/>
      <c r="AB99" s="199"/>
      <c r="AC99" s="181"/>
      <c r="AD99" s="181"/>
      <c r="AE99" s="181"/>
      <c r="AF99" s="181"/>
      <c r="AG99" s="181"/>
      <c r="AH99" s="213"/>
      <c r="AI99" s="214"/>
      <c r="AJ99" s="214"/>
      <c r="AK99" s="215"/>
      <c r="AL99" s="216"/>
      <c r="AM99" s="216"/>
      <c r="AN99" s="216"/>
      <c r="AO99" s="216"/>
      <c r="AP99" s="181"/>
      <c r="AQ99" s="181"/>
      <c r="AR99" s="181"/>
      <c r="AS99" s="181"/>
      <c r="AT99" s="181"/>
      <c r="AU99" s="181"/>
      <c r="AV99" s="181"/>
      <c r="AW99" s="181"/>
      <c r="AX99" s="181"/>
      <c r="AY99" s="181"/>
    </row>
    <row r="100" spans="1:51">
      <c r="A100" s="167" t="s">
        <v>78</v>
      </c>
      <c r="B100" s="167"/>
      <c r="C100" s="167"/>
      <c r="D100" s="167"/>
      <c r="E100" s="167"/>
      <c r="F100" s="167"/>
      <c r="G100" s="167"/>
      <c r="H100" s="167"/>
      <c r="I100" s="167"/>
      <c r="J100" s="179">
        <v>303</v>
      </c>
      <c r="K100" s="179"/>
      <c r="L100" s="179"/>
      <c r="M100" s="181"/>
      <c r="N100" s="181"/>
      <c r="O100" s="181"/>
      <c r="P100" s="181"/>
      <c r="Q100" s="197"/>
      <c r="R100" s="198"/>
      <c r="S100" s="198"/>
      <c r="T100" s="199"/>
      <c r="U100" s="181"/>
      <c r="V100" s="181"/>
      <c r="W100" s="181"/>
      <c r="X100" s="181"/>
      <c r="Y100" s="197"/>
      <c r="Z100" s="198"/>
      <c r="AA100" s="198"/>
      <c r="AB100" s="199"/>
      <c r="AC100" s="181"/>
      <c r="AD100" s="181"/>
      <c r="AE100" s="181"/>
      <c r="AF100" s="181"/>
      <c r="AG100" s="181"/>
      <c r="AH100" s="213"/>
      <c r="AI100" s="214"/>
      <c r="AJ100" s="214"/>
      <c r="AK100" s="215"/>
      <c r="AL100" s="216"/>
      <c r="AM100" s="216"/>
      <c r="AN100" s="216"/>
      <c r="AO100" s="216"/>
      <c r="AP100" s="181"/>
      <c r="AQ100" s="181"/>
      <c r="AR100" s="181"/>
      <c r="AS100" s="181"/>
      <c r="AT100" s="181"/>
      <c r="AU100" s="181"/>
      <c r="AV100" s="181"/>
      <c r="AW100" s="181"/>
      <c r="AX100" s="181"/>
      <c r="AY100" s="181"/>
    </row>
    <row r="101" spans="1:51">
      <c r="A101" s="243" t="s">
        <v>83</v>
      </c>
      <c r="B101" s="167"/>
      <c r="C101" s="167"/>
      <c r="D101" s="167"/>
      <c r="E101" s="167"/>
      <c r="F101" s="167"/>
      <c r="G101" s="167"/>
      <c r="H101" s="167"/>
      <c r="I101" s="167"/>
      <c r="J101" s="179">
        <v>304</v>
      </c>
      <c r="K101" s="179"/>
      <c r="L101" s="179"/>
      <c r="M101" s="181"/>
      <c r="N101" s="181"/>
      <c r="O101" s="181"/>
      <c r="P101" s="181"/>
      <c r="Q101" s="197"/>
      <c r="R101" s="198"/>
      <c r="S101" s="198"/>
      <c r="T101" s="199"/>
      <c r="U101" s="181"/>
      <c r="V101" s="181"/>
      <c r="W101" s="181"/>
      <c r="X101" s="181"/>
      <c r="Y101" s="197"/>
      <c r="Z101" s="198"/>
      <c r="AA101" s="198"/>
      <c r="AB101" s="199"/>
      <c r="AC101" s="181"/>
      <c r="AD101" s="181"/>
      <c r="AE101" s="181"/>
      <c r="AF101" s="181"/>
      <c r="AG101" s="181"/>
      <c r="AH101" s="213"/>
      <c r="AI101" s="214"/>
      <c r="AJ101" s="214"/>
      <c r="AK101" s="215"/>
      <c r="AL101" s="216"/>
      <c r="AM101" s="216"/>
      <c r="AN101" s="216"/>
      <c r="AO101" s="216"/>
      <c r="AP101" s="181"/>
      <c r="AQ101" s="181"/>
      <c r="AR101" s="181"/>
      <c r="AS101" s="181"/>
      <c r="AT101" s="181"/>
      <c r="AU101" s="181"/>
      <c r="AV101" s="181"/>
      <c r="AW101" s="181"/>
      <c r="AX101" s="181"/>
      <c r="AY101" s="181"/>
    </row>
    <row r="102" s="35" customFormat="1" ht="13.8" spans="1:51">
      <c r="A102" s="169"/>
      <c r="B102" s="170"/>
      <c r="C102" s="170"/>
      <c r="D102" s="170"/>
      <c r="E102" s="170"/>
      <c r="F102" s="170"/>
      <c r="G102" s="170"/>
      <c r="H102" s="170"/>
      <c r="I102" s="170"/>
      <c r="J102" s="188"/>
      <c r="K102" s="188"/>
      <c r="L102" s="188"/>
      <c r="M102" s="189"/>
      <c r="N102" s="189"/>
      <c r="O102" s="189"/>
      <c r="P102" s="189"/>
      <c r="Q102" s="189"/>
      <c r="R102" s="189"/>
      <c r="S102" s="189"/>
      <c r="T102" s="189"/>
      <c r="U102" s="189"/>
      <c r="V102" s="189"/>
      <c r="W102" s="189"/>
      <c r="X102" s="189"/>
      <c r="Y102" s="189"/>
      <c r="Z102" s="189"/>
      <c r="AA102" s="189"/>
      <c r="AB102" s="189"/>
      <c r="AC102" s="189"/>
      <c r="AD102" s="189"/>
      <c r="AE102" s="189"/>
      <c r="AF102" s="189"/>
      <c r="AG102" s="189"/>
      <c r="AH102" s="217"/>
      <c r="AI102" s="217"/>
      <c r="AJ102" s="217"/>
      <c r="AK102" s="217"/>
      <c r="AL102" s="217"/>
      <c r="AM102" s="217"/>
      <c r="AN102" s="217"/>
      <c r="AO102" s="217"/>
      <c r="AP102" s="189"/>
      <c r="AQ102" s="189"/>
      <c r="AR102" s="189"/>
      <c r="AS102" s="189"/>
      <c r="AT102" s="189"/>
      <c r="AU102" s="189"/>
      <c r="AV102" s="189"/>
      <c r="AW102" s="189"/>
      <c r="AX102" s="189"/>
      <c r="AY102" s="189"/>
    </row>
    <row r="103" s="35" customFormat="1" ht="13.8" spans="1:51">
      <c r="A103" s="169" t="s">
        <v>101</v>
      </c>
      <c r="B103" s="169"/>
      <c r="C103" s="169"/>
      <c r="D103" s="169"/>
      <c r="E103" s="169"/>
      <c r="F103" s="169"/>
      <c r="G103" s="169"/>
      <c r="H103" s="169"/>
      <c r="I103" s="169"/>
      <c r="J103" s="169"/>
      <c r="K103" s="169"/>
      <c r="L103" s="169"/>
      <c r="M103" s="189"/>
      <c r="N103" s="189"/>
      <c r="O103" s="189"/>
      <c r="P103" s="189"/>
      <c r="Q103" s="189"/>
      <c r="R103" s="200" t="s">
        <v>102</v>
      </c>
      <c r="S103" s="200"/>
      <c r="T103" s="200"/>
      <c r="U103" s="200"/>
      <c r="V103" s="200"/>
      <c r="W103" s="200"/>
      <c r="X103" s="189"/>
      <c r="Y103" s="189"/>
      <c r="Z103" s="200"/>
      <c r="AA103" s="200"/>
      <c r="AB103" s="200"/>
      <c r="AC103" s="200"/>
      <c r="AD103" s="200"/>
      <c r="AE103" s="200"/>
      <c r="AF103" s="200"/>
      <c r="AG103" s="200"/>
      <c r="AH103" s="217"/>
      <c r="AI103" s="217"/>
      <c r="AJ103" s="218" t="s">
        <v>103</v>
      </c>
      <c r="AK103" s="218"/>
      <c r="AL103" s="218"/>
      <c r="AM103" s="218"/>
      <c r="AN103" s="218"/>
      <c r="AO103" s="218"/>
      <c r="AP103" s="218"/>
      <c r="AQ103" s="218"/>
      <c r="AR103" s="189"/>
      <c r="AS103" s="189"/>
      <c r="AT103" s="189"/>
      <c r="AU103" s="189"/>
      <c r="AV103" s="189"/>
      <c r="AW103" s="189"/>
      <c r="AX103" s="189"/>
      <c r="AY103" s="189"/>
    </row>
    <row r="104" s="35" customFormat="1" ht="13.8" spans="1:51">
      <c r="A104" s="169"/>
      <c r="B104" s="170"/>
      <c r="C104" s="170"/>
      <c r="D104" s="170"/>
      <c r="E104" s="170"/>
      <c r="F104" s="170"/>
      <c r="G104" s="170"/>
      <c r="H104" s="170"/>
      <c r="I104" s="170"/>
      <c r="J104" s="188"/>
      <c r="K104" s="188"/>
      <c r="L104" s="188"/>
      <c r="M104" s="189"/>
      <c r="N104" s="189"/>
      <c r="O104" s="189"/>
      <c r="P104" s="189"/>
      <c r="Q104" s="189"/>
      <c r="R104" s="55" t="s">
        <v>104</v>
      </c>
      <c r="S104" s="55"/>
      <c r="T104" s="55"/>
      <c r="U104" s="55"/>
      <c r="V104" s="55"/>
      <c r="W104" s="55"/>
      <c r="X104" s="189"/>
      <c r="Y104" s="189"/>
      <c r="Z104" s="176" t="s">
        <v>105</v>
      </c>
      <c r="AA104" s="176"/>
      <c r="AB104" s="176"/>
      <c r="AC104" s="176"/>
      <c r="AD104" s="176"/>
      <c r="AE104" s="176"/>
      <c r="AF104" s="176"/>
      <c r="AG104" s="176"/>
      <c r="AH104" s="217"/>
      <c r="AI104" s="217"/>
      <c r="AJ104" s="55" t="s">
        <v>106</v>
      </c>
      <c r="AK104" s="55"/>
      <c r="AL104" s="55"/>
      <c r="AM104" s="55"/>
      <c r="AN104" s="55"/>
      <c r="AO104" s="55"/>
      <c r="AP104" s="55"/>
      <c r="AQ104" s="55"/>
      <c r="AR104" s="189"/>
      <c r="AS104" s="189"/>
      <c r="AT104" s="189"/>
      <c r="AU104" s="189"/>
      <c r="AV104" s="189"/>
      <c r="AW104" s="189"/>
      <c r="AX104" s="189"/>
      <c r="AY104" s="189"/>
    </row>
    <row r="105" s="35" customFormat="1" ht="13.8" spans="1:51">
      <c r="A105" s="171"/>
      <c r="B105" s="171"/>
      <c r="C105" s="171"/>
      <c r="D105" s="171"/>
      <c r="E105" s="171"/>
      <c r="F105" s="171"/>
      <c r="G105" s="171"/>
      <c r="H105" s="171"/>
      <c r="I105" s="171"/>
      <c r="J105" s="77"/>
      <c r="K105" s="77"/>
      <c r="L105" s="77"/>
      <c r="M105" s="171"/>
      <c r="N105" s="171"/>
      <c r="O105" s="171"/>
      <c r="P105" s="171"/>
      <c r="Q105" s="171"/>
      <c r="R105" s="171"/>
      <c r="S105" s="171"/>
      <c r="T105" s="171"/>
      <c r="U105" s="171"/>
      <c r="V105" s="171"/>
      <c r="W105" s="171"/>
      <c r="X105" s="171"/>
      <c r="Y105" s="171"/>
      <c r="Z105" s="171"/>
      <c r="AA105" s="171"/>
      <c r="AB105" s="171"/>
      <c r="AC105" s="171"/>
      <c r="AD105" s="171"/>
      <c r="AE105" s="171"/>
      <c r="AF105" s="205"/>
      <c r="AG105" s="205"/>
      <c r="AH105" s="205"/>
      <c r="AI105" s="219"/>
      <c r="AJ105" s="219"/>
      <c r="AK105" s="219"/>
      <c r="AL105" s="219"/>
      <c r="AM105" s="219"/>
      <c r="AN105" s="220"/>
      <c r="AO105" s="220"/>
      <c r="AP105" s="205"/>
      <c r="AQ105" s="205"/>
      <c r="AR105" s="205"/>
      <c r="AS105" s="205"/>
      <c r="AT105" s="171"/>
      <c r="AU105" s="171"/>
      <c r="AV105" s="171"/>
      <c r="AW105" s="171"/>
      <c r="AX105" s="171"/>
      <c r="AY105" s="171"/>
    </row>
    <row r="106" s="38" customFormat="1" ht="30" customHeight="1" spans="1:51">
      <c r="A106" s="172" t="s">
        <v>107</v>
      </c>
      <c r="B106" s="172"/>
      <c r="C106" s="172"/>
      <c r="D106" s="172"/>
      <c r="E106" s="172"/>
      <c r="F106" s="172"/>
      <c r="G106" s="172"/>
      <c r="H106" s="172"/>
      <c r="I106" s="172"/>
      <c r="J106" s="172"/>
      <c r="K106" s="172"/>
      <c r="L106" s="172"/>
      <c r="M106" s="172"/>
      <c r="N106" s="172"/>
      <c r="O106" s="172"/>
      <c r="P106" s="172"/>
      <c r="Q106" s="172"/>
      <c r="R106" s="175" t="s">
        <v>108</v>
      </c>
      <c r="S106" s="175"/>
      <c r="T106" s="175"/>
      <c r="U106" s="175"/>
      <c r="V106" s="175"/>
      <c r="W106" s="175"/>
      <c r="X106" s="201"/>
      <c r="Y106" s="206"/>
      <c r="Z106" s="207"/>
      <c r="AA106" s="207"/>
      <c r="AB106" s="207"/>
      <c r="AC106" s="207"/>
      <c r="AD106" s="207"/>
      <c r="AE106" s="207"/>
      <c r="AF106" s="207"/>
      <c r="AG106" s="207"/>
      <c r="AH106" s="221"/>
      <c r="AI106" s="221"/>
      <c r="AJ106" s="175" t="s">
        <v>109</v>
      </c>
      <c r="AK106" s="175"/>
      <c r="AL106" s="175"/>
      <c r="AM106" s="175"/>
      <c r="AN106" s="175"/>
      <c r="AO106" s="175"/>
      <c r="AP106" s="175"/>
      <c r="AQ106" s="175"/>
      <c r="AR106" s="221"/>
      <c r="AS106" s="221"/>
      <c r="AT106" s="221"/>
      <c r="AU106" s="206"/>
      <c r="AV106" s="226"/>
      <c r="AW106" s="226"/>
      <c r="AX106" s="229"/>
      <c r="AY106" s="229"/>
    </row>
    <row r="107" s="36" customFormat="1" ht="12" customHeight="1" spans="1:51">
      <c r="A107" s="173"/>
      <c r="B107" s="173"/>
      <c r="C107" s="173"/>
      <c r="D107" s="173"/>
      <c r="E107" s="173"/>
      <c r="F107" s="173"/>
      <c r="G107" s="173"/>
      <c r="H107" s="173"/>
      <c r="I107" s="173"/>
      <c r="J107" s="173"/>
      <c r="K107" s="173"/>
      <c r="L107" s="173"/>
      <c r="M107" s="173"/>
      <c r="N107" s="190"/>
      <c r="O107" s="190"/>
      <c r="P107" s="190"/>
      <c r="Q107" s="190"/>
      <c r="R107" s="55" t="s">
        <v>104</v>
      </c>
      <c r="S107" s="55"/>
      <c r="T107" s="55"/>
      <c r="U107" s="55"/>
      <c r="V107" s="55"/>
      <c r="W107" s="55"/>
      <c r="X107" s="202"/>
      <c r="Y107" s="208"/>
      <c r="Z107" s="176" t="s">
        <v>105</v>
      </c>
      <c r="AA107" s="176"/>
      <c r="AB107" s="176"/>
      <c r="AC107" s="176"/>
      <c r="AD107" s="176"/>
      <c r="AE107" s="176"/>
      <c r="AF107" s="176"/>
      <c r="AG107" s="176"/>
      <c r="AH107" s="222"/>
      <c r="AI107" s="222"/>
      <c r="AJ107" s="55" t="s">
        <v>106</v>
      </c>
      <c r="AK107" s="55"/>
      <c r="AL107" s="55"/>
      <c r="AM107" s="55"/>
      <c r="AN107" s="55"/>
      <c r="AO107" s="55"/>
      <c r="AP107" s="55"/>
      <c r="AQ107" s="55"/>
      <c r="AR107" s="222"/>
      <c r="AS107" s="222"/>
      <c r="AT107" s="222"/>
      <c r="AU107" s="208"/>
      <c r="AV107" s="227"/>
      <c r="AW107" s="227"/>
      <c r="AX107" s="190"/>
      <c r="AY107" s="190"/>
    </row>
    <row r="108" ht="6" customHeight="1" spans="1:51">
      <c r="A108" s="174"/>
      <c r="B108" s="98"/>
      <c r="C108" s="98"/>
      <c r="D108" s="61"/>
      <c r="E108" s="61"/>
      <c r="F108" s="61"/>
      <c r="G108" s="61"/>
      <c r="H108" s="77"/>
      <c r="I108" s="77"/>
      <c r="J108" s="61"/>
      <c r="K108" s="77"/>
      <c r="L108" s="77"/>
      <c r="M108" s="77"/>
      <c r="N108" s="99"/>
      <c r="O108" s="99"/>
      <c r="P108" s="99"/>
      <c r="Q108" s="99"/>
      <c r="R108" s="99"/>
      <c r="S108" s="99"/>
      <c r="T108" s="99"/>
      <c r="U108" s="99"/>
      <c r="V108" s="99"/>
      <c r="W108" s="99"/>
      <c r="X108" s="99"/>
      <c r="Y108" s="99"/>
      <c r="Z108" s="99"/>
      <c r="AA108" s="99"/>
      <c r="AB108" s="99"/>
      <c r="AC108" s="99"/>
      <c r="AD108" s="99"/>
      <c r="AE108" s="99"/>
      <c r="AF108" s="99"/>
      <c r="AG108" s="99"/>
      <c r="AH108" s="99"/>
      <c r="AI108" s="99"/>
      <c r="AJ108" s="99"/>
      <c r="AK108" s="99"/>
      <c r="AL108" s="99"/>
      <c r="AM108" s="99"/>
      <c r="AN108" s="99"/>
      <c r="AO108" s="99"/>
      <c r="AP108" s="99"/>
      <c r="AQ108" s="99"/>
      <c r="AR108" s="99"/>
      <c r="AS108" s="99"/>
      <c r="AT108" s="99"/>
      <c r="AU108" s="99"/>
      <c r="AV108" s="99"/>
      <c r="AW108" s="99"/>
      <c r="AX108" s="99"/>
      <c r="AY108" s="99"/>
    </row>
    <row r="109" spans="1:51">
      <c r="A109" s="175" t="s">
        <v>110</v>
      </c>
      <c r="B109" s="175"/>
      <c r="C109" s="175"/>
      <c r="D109" s="175"/>
      <c r="E109" s="175"/>
      <c r="F109" s="175"/>
      <c r="G109" s="175"/>
      <c r="H109" s="175"/>
      <c r="I109" s="175"/>
      <c r="J109" s="175"/>
      <c r="K109" s="175"/>
      <c r="L109" s="175"/>
      <c r="M109" s="175"/>
      <c r="N109" s="175"/>
      <c r="O109" s="175"/>
      <c r="P109" s="175"/>
      <c r="Q109" s="99"/>
      <c r="R109" s="99"/>
      <c r="S109" s="99"/>
      <c r="T109" s="99"/>
      <c r="U109" s="99"/>
      <c r="V109" s="99"/>
      <c r="W109" s="203"/>
      <c r="X109" s="203"/>
      <c r="Y109" s="203"/>
      <c r="Z109" s="203"/>
      <c r="AA109" s="203"/>
      <c r="AB109" s="203"/>
      <c r="AC109" s="203"/>
      <c r="AD109" s="203"/>
      <c r="AE109" s="203"/>
      <c r="AF109" s="203"/>
      <c r="AG109" s="203"/>
      <c r="AH109" s="203"/>
      <c r="AI109" s="203"/>
      <c r="AJ109" s="203"/>
      <c r="AK109" s="223"/>
      <c r="AL109" s="223"/>
      <c r="AM109" s="223"/>
      <c r="AN109" s="224"/>
      <c r="AO109" s="228"/>
      <c r="AP109" s="99"/>
      <c r="AQ109" s="99"/>
      <c r="AR109" s="99"/>
      <c r="AS109" s="99"/>
      <c r="AT109" s="99"/>
      <c r="AU109" s="99"/>
      <c r="AV109" s="99"/>
      <c r="AW109" s="99"/>
      <c r="AX109" s="99"/>
      <c r="AY109" s="99"/>
    </row>
    <row r="110" s="36" customFormat="1" ht="12" customHeight="1" spans="1:51">
      <c r="A110" s="176" t="s">
        <v>111</v>
      </c>
      <c r="B110" s="176"/>
      <c r="C110" s="176"/>
      <c r="D110" s="176"/>
      <c r="E110" s="176"/>
      <c r="F110" s="176"/>
      <c r="G110" s="176"/>
      <c r="H110" s="176"/>
      <c r="I110" s="176"/>
      <c r="J110" s="176"/>
      <c r="K110" s="176"/>
      <c r="L110" s="176"/>
      <c r="M110" s="176"/>
      <c r="N110" s="176"/>
      <c r="O110" s="176"/>
      <c r="P110" s="176"/>
      <c r="Q110" s="190"/>
      <c r="R110" s="190"/>
      <c r="S110" s="190"/>
      <c r="T110" s="190"/>
      <c r="U110" s="190"/>
      <c r="V110" s="204"/>
      <c r="W110" s="176" t="s">
        <v>112</v>
      </c>
      <c r="X110" s="176"/>
      <c r="Y110" s="176"/>
      <c r="Z110" s="176"/>
      <c r="AA110" s="176"/>
      <c r="AB110" s="176"/>
      <c r="AC110" s="176"/>
      <c r="AD110" s="176"/>
      <c r="AE110" s="176"/>
      <c r="AF110" s="176"/>
      <c r="AG110" s="176"/>
      <c r="AH110" s="176"/>
      <c r="AI110" s="176"/>
      <c r="AJ110" s="176"/>
      <c r="AK110" s="222"/>
      <c r="AL110" s="222"/>
      <c r="AM110" s="222"/>
      <c r="AN110" s="225"/>
      <c r="AO110" s="173"/>
      <c r="AP110" s="173"/>
      <c r="AQ110" s="227"/>
      <c r="AR110" s="173"/>
      <c r="AS110" s="173"/>
      <c r="AT110" s="173"/>
      <c r="AU110" s="190"/>
      <c r="AV110" s="190"/>
      <c r="AW110" s="190"/>
      <c r="AX110" s="190"/>
      <c r="AY110" s="190"/>
    </row>
    <row r="111" s="36" customFormat="1" ht="12" spans="1:51">
      <c r="A111" s="55"/>
      <c r="B111" s="55"/>
      <c r="C111" s="55"/>
      <c r="D111" s="55"/>
      <c r="E111" s="55"/>
      <c r="F111" s="55"/>
      <c r="G111" s="55"/>
      <c r="H111" s="55"/>
      <c r="I111" s="55"/>
      <c r="J111" s="55"/>
      <c r="K111" s="55"/>
      <c r="L111" s="55"/>
      <c r="M111" s="55"/>
      <c r="N111" s="55"/>
      <c r="O111" s="55"/>
      <c r="P111" s="55"/>
      <c r="Q111" s="204"/>
      <c r="R111" s="204"/>
      <c r="S111" s="204"/>
      <c r="T111" s="204"/>
      <c r="U111" s="204"/>
      <c r="V111" s="173"/>
      <c r="W111" s="55"/>
      <c r="X111" s="55"/>
      <c r="Y111" s="55"/>
      <c r="Z111" s="55"/>
      <c r="AA111" s="55"/>
      <c r="AB111" s="55"/>
      <c r="AC111" s="55"/>
      <c r="AD111" s="55"/>
      <c r="AE111" s="55"/>
      <c r="AF111" s="55"/>
      <c r="AG111" s="55"/>
      <c r="AH111" s="55"/>
      <c r="AI111" s="55"/>
      <c r="AJ111" s="55"/>
      <c r="AK111" s="222"/>
      <c r="AL111" s="222"/>
      <c r="AM111" s="222"/>
      <c r="AN111" s="225"/>
      <c r="AO111" s="173"/>
      <c r="AP111" s="173"/>
      <c r="AQ111" s="173"/>
      <c r="AR111" s="173"/>
      <c r="AS111" s="173"/>
      <c r="AT111" s="173"/>
      <c r="AU111" s="204"/>
      <c r="AV111" s="204"/>
      <c r="AW111" s="204"/>
      <c r="AX111" s="204"/>
      <c r="AY111" s="204"/>
    </row>
  </sheetData>
  <mergeCells count="409">
    <mergeCell ref="A2:AY2"/>
    <mergeCell ref="A8:AY8"/>
    <mergeCell ref="A10:AY10"/>
    <mergeCell ref="A12:AY12"/>
    <mergeCell ref="V14:AC14"/>
    <mergeCell ref="R15:AF15"/>
    <mergeCell ref="Q16:X16"/>
    <mergeCell ref="Y16:AC16"/>
    <mergeCell ref="AD16:AE16"/>
    <mergeCell ref="AG16:AJ16"/>
    <mergeCell ref="Y17:AC17"/>
    <mergeCell ref="A19:AG19"/>
    <mergeCell ref="AH19:AN19"/>
    <mergeCell ref="AP19:AY19"/>
    <mergeCell ref="AP23:AY23"/>
    <mergeCell ref="AP24:AY24"/>
    <mergeCell ref="A27:N27"/>
    <mergeCell ref="O27:AY27"/>
    <mergeCell ref="A28:AY28"/>
    <mergeCell ref="A29:W29"/>
    <mergeCell ref="X29:AY29"/>
    <mergeCell ref="A30:AY30"/>
    <mergeCell ref="A31:K31"/>
    <mergeCell ref="L31:AY31"/>
    <mergeCell ref="A32:AY32"/>
    <mergeCell ref="A33:L33"/>
    <mergeCell ref="M33:AY33"/>
    <mergeCell ref="A37:O37"/>
    <mergeCell ref="P37:AA37"/>
    <mergeCell ref="A38:O38"/>
    <mergeCell ref="P38:AA38"/>
    <mergeCell ref="A40:AY40"/>
    <mergeCell ref="A42:AY42"/>
    <mergeCell ref="A43:AY43"/>
    <mergeCell ref="A44:AY44"/>
    <mergeCell ref="A45:AY45"/>
    <mergeCell ref="A46:AG46"/>
    <mergeCell ref="AH46:AK46"/>
    <mergeCell ref="AL46:AQ46"/>
    <mergeCell ref="AR46:AY46"/>
    <mergeCell ref="A47:AG47"/>
    <mergeCell ref="AH47:AK47"/>
    <mergeCell ref="AL47:AQ47"/>
    <mergeCell ref="AR47:AY47"/>
    <mergeCell ref="A48:AG48"/>
    <mergeCell ref="AH48:AK48"/>
    <mergeCell ref="AL48:AQ48"/>
    <mergeCell ref="AR48:AY48"/>
    <mergeCell ref="A49:AG49"/>
    <mergeCell ref="AH49:AK49"/>
    <mergeCell ref="AL49:AQ49"/>
    <mergeCell ref="AR49:AY49"/>
    <mergeCell ref="A50:AG50"/>
    <mergeCell ref="AH50:AK50"/>
    <mergeCell ref="AL50:AQ50"/>
    <mergeCell ref="AR50:AY50"/>
    <mergeCell ref="A51:AG51"/>
    <mergeCell ref="AH51:AK51"/>
    <mergeCell ref="AL51:AQ51"/>
    <mergeCell ref="AR51:AY51"/>
    <mergeCell ref="A52:AG52"/>
    <mergeCell ref="AH52:AK52"/>
    <mergeCell ref="AL52:AQ52"/>
    <mergeCell ref="AR52:AY52"/>
    <mergeCell ref="A53:AG53"/>
    <mergeCell ref="AH53:AK53"/>
    <mergeCell ref="AL53:AQ53"/>
    <mergeCell ref="AR53:AY53"/>
    <mergeCell ref="A54:AG54"/>
    <mergeCell ref="AH54:AK54"/>
    <mergeCell ref="AL54:AQ54"/>
    <mergeCell ref="AR54:AY54"/>
    <mergeCell ref="A55:AG55"/>
    <mergeCell ref="AH55:AK55"/>
    <mergeCell ref="AL55:AQ55"/>
    <mergeCell ref="AR55:AY55"/>
    <mergeCell ref="A56:AG56"/>
    <mergeCell ref="AH56:AK56"/>
    <mergeCell ref="AL56:AQ56"/>
    <mergeCell ref="AR56:AY56"/>
    <mergeCell ref="A57:AG57"/>
    <mergeCell ref="AH57:AK57"/>
    <mergeCell ref="AL57:AQ57"/>
    <mergeCell ref="AR57:AY57"/>
    <mergeCell ref="A58:AG58"/>
    <mergeCell ref="AH58:AK58"/>
    <mergeCell ref="AL58:AQ58"/>
    <mergeCell ref="AR58:AY58"/>
    <mergeCell ref="A59:AG59"/>
    <mergeCell ref="AH59:AK59"/>
    <mergeCell ref="AL59:AQ59"/>
    <mergeCell ref="AR59:AY59"/>
    <mergeCell ref="A60:AG60"/>
    <mergeCell ref="AH60:AK60"/>
    <mergeCell ref="AL60:AQ60"/>
    <mergeCell ref="AR60:AY60"/>
    <mergeCell ref="A61:AG61"/>
    <mergeCell ref="AH61:AK61"/>
    <mergeCell ref="AL61:AQ61"/>
    <mergeCell ref="AR61:AY61"/>
    <mergeCell ref="A62:AG62"/>
    <mergeCell ref="AH62:AK62"/>
    <mergeCell ref="AL62:AQ62"/>
    <mergeCell ref="AR62:AY62"/>
    <mergeCell ref="A63:AG63"/>
    <mergeCell ref="AH63:AK63"/>
    <mergeCell ref="AL63:AQ63"/>
    <mergeCell ref="AR63:AY63"/>
    <mergeCell ref="A64:AG64"/>
    <mergeCell ref="AH64:AK64"/>
    <mergeCell ref="AL64:AQ64"/>
    <mergeCell ref="AR64:AY64"/>
    <mergeCell ref="A65:AY65"/>
    <mergeCell ref="W66:AB66"/>
    <mergeCell ref="A67:AY67"/>
    <mergeCell ref="A68:AY68"/>
    <mergeCell ref="A69:AY69"/>
    <mergeCell ref="O70:V70"/>
    <mergeCell ref="W70:AF70"/>
    <mergeCell ref="AG70:AN70"/>
    <mergeCell ref="O71:Q71"/>
    <mergeCell ref="R71:V71"/>
    <mergeCell ref="W71:Z71"/>
    <mergeCell ref="AA71:AF71"/>
    <mergeCell ref="AG71:AJ71"/>
    <mergeCell ref="AK71:AN71"/>
    <mergeCell ref="A72:J72"/>
    <mergeCell ref="K72:N72"/>
    <mergeCell ref="O72:Q72"/>
    <mergeCell ref="R72:V72"/>
    <mergeCell ref="W72:Z72"/>
    <mergeCell ref="AA72:AF72"/>
    <mergeCell ref="AG72:AJ72"/>
    <mergeCell ref="AK72:AN72"/>
    <mergeCell ref="AO72:AS72"/>
    <mergeCell ref="AT72:AY72"/>
    <mergeCell ref="A73:J73"/>
    <mergeCell ref="K73:N73"/>
    <mergeCell ref="O73:Q73"/>
    <mergeCell ref="R73:V73"/>
    <mergeCell ref="W73:Z73"/>
    <mergeCell ref="AA73:AF73"/>
    <mergeCell ref="AG73:AJ73"/>
    <mergeCell ref="AK73:AN73"/>
    <mergeCell ref="AO73:AS73"/>
    <mergeCell ref="AT73:AY73"/>
    <mergeCell ref="A74:J74"/>
    <mergeCell ref="K74:N74"/>
    <mergeCell ref="O74:Q74"/>
    <mergeCell ref="R74:V74"/>
    <mergeCell ref="W74:Z74"/>
    <mergeCell ref="AA74:AF74"/>
    <mergeCell ref="AG74:AJ74"/>
    <mergeCell ref="AK74:AN74"/>
    <mergeCell ref="AO74:AS74"/>
    <mergeCell ref="AT74:AY74"/>
    <mergeCell ref="A75:J75"/>
    <mergeCell ref="K75:N75"/>
    <mergeCell ref="O75:Q75"/>
    <mergeCell ref="R75:V75"/>
    <mergeCell ref="W75:Z75"/>
    <mergeCell ref="AA75:AF75"/>
    <mergeCell ref="AG75:AJ75"/>
    <mergeCell ref="AK75:AN75"/>
    <mergeCell ref="AO75:AS75"/>
    <mergeCell ref="AT75:AY75"/>
    <mergeCell ref="A76:J76"/>
    <mergeCell ref="K76:N76"/>
    <mergeCell ref="O76:Q76"/>
    <mergeCell ref="R76:V76"/>
    <mergeCell ref="W76:Z76"/>
    <mergeCell ref="AA76:AF76"/>
    <mergeCell ref="AG76:AJ76"/>
    <mergeCell ref="AK76:AN76"/>
    <mergeCell ref="AO76:AS76"/>
    <mergeCell ref="AT76:AY76"/>
    <mergeCell ref="A77:J77"/>
    <mergeCell ref="K77:N77"/>
    <mergeCell ref="O77:Q77"/>
    <mergeCell ref="R77:V77"/>
    <mergeCell ref="W77:Z77"/>
    <mergeCell ref="AA77:AF77"/>
    <mergeCell ref="AG77:AJ77"/>
    <mergeCell ref="AK77:AN77"/>
    <mergeCell ref="AO77:AS77"/>
    <mergeCell ref="AT77:AY77"/>
    <mergeCell ref="A78:J78"/>
    <mergeCell ref="K78:N78"/>
    <mergeCell ref="O78:Q78"/>
    <mergeCell ref="R78:V78"/>
    <mergeCell ref="W78:Z78"/>
    <mergeCell ref="AA78:AF78"/>
    <mergeCell ref="AG78:AJ78"/>
    <mergeCell ref="AK78:AN78"/>
    <mergeCell ref="AO78:AS78"/>
    <mergeCell ref="AT78:AY78"/>
    <mergeCell ref="A79:J79"/>
    <mergeCell ref="K79:N79"/>
    <mergeCell ref="O79:Q79"/>
    <mergeCell ref="R79:V79"/>
    <mergeCell ref="W79:Z79"/>
    <mergeCell ref="AA79:AF79"/>
    <mergeCell ref="AG79:AJ79"/>
    <mergeCell ref="AK79:AN79"/>
    <mergeCell ref="AO79:AS79"/>
    <mergeCell ref="AT79:AY79"/>
    <mergeCell ref="A80:J80"/>
    <mergeCell ref="K80:N80"/>
    <mergeCell ref="O80:Q80"/>
    <mergeCell ref="R80:V80"/>
    <mergeCell ref="W80:Z80"/>
    <mergeCell ref="AA80:AF80"/>
    <mergeCell ref="AG80:AJ80"/>
    <mergeCell ref="AK80:AN80"/>
    <mergeCell ref="AO80:AS80"/>
    <mergeCell ref="AT80:AY80"/>
    <mergeCell ref="A81:J81"/>
    <mergeCell ref="K81:N81"/>
    <mergeCell ref="O81:Q81"/>
    <mergeCell ref="R81:V81"/>
    <mergeCell ref="W81:Z81"/>
    <mergeCell ref="AA81:AF81"/>
    <mergeCell ref="AG81:AJ81"/>
    <mergeCell ref="AK81:AN81"/>
    <mergeCell ref="AO81:AS81"/>
    <mergeCell ref="AT81:AY81"/>
    <mergeCell ref="A82:J82"/>
    <mergeCell ref="K82:N82"/>
    <mergeCell ref="O82:Q82"/>
    <mergeCell ref="R82:V82"/>
    <mergeCell ref="W82:Z82"/>
    <mergeCell ref="AA82:AF82"/>
    <mergeCell ref="AG82:AJ82"/>
    <mergeCell ref="AK82:AN82"/>
    <mergeCell ref="AO82:AS82"/>
    <mergeCell ref="AT82:AY82"/>
    <mergeCell ref="A83:J83"/>
    <mergeCell ref="K83:N83"/>
    <mergeCell ref="O83:Q83"/>
    <mergeCell ref="R83:V83"/>
    <mergeCell ref="W83:Z83"/>
    <mergeCell ref="AA83:AF83"/>
    <mergeCell ref="AG83:AJ83"/>
    <mergeCell ref="AK83:AN83"/>
    <mergeCell ref="AO83:AS83"/>
    <mergeCell ref="AT83:AY83"/>
    <mergeCell ref="A84:J84"/>
    <mergeCell ref="K84:N84"/>
    <mergeCell ref="O84:Q84"/>
    <mergeCell ref="R84:V84"/>
    <mergeCell ref="W84:Z84"/>
    <mergeCell ref="AA84:AF84"/>
    <mergeCell ref="AG84:AJ84"/>
    <mergeCell ref="AK84:AN84"/>
    <mergeCell ref="AO84:AS84"/>
    <mergeCell ref="AT84:AY84"/>
    <mergeCell ref="A85:J85"/>
    <mergeCell ref="K85:N85"/>
    <mergeCell ref="O85:Q85"/>
    <mergeCell ref="R85:V85"/>
    <mergeCell ref="W85:Z85"/>
    <mergeCell ref="AA85:AF85"/>
    <mergeCell ref="AG85:AJ85"/>
    <mergeCell ref="AK85:AN85"/>
    <mergeCell ref="AO85:AS85"/>
    <mergeCell ref="AT85:AY85"/>
    <mergeCell ref="A86:J86"/>
    <mergeCell ref="K86:N86"/>
    <mergeCell ref="O86:Q86"/>
    <mergeCell ref="R86:V86"/>
    <mergeCell ref="W86:Z86"/>
    <mergeCell ref="AA86:AF86"/>
    <mergeCell ref="AG86:AJ86"/>
    <mergeCell ref="AK86:AN86"/>
    <mergeCell ref="AO86:AS86"/>
    <mergeCell ref="AT86:AY86"/>
    <mergeCell ref="A87:J87"/>
    <mergeCell ref="K87:N87"/>
    <mergeCell ref="O87:Q87"/>
    <mergeCell ref="R87:V87"/>
    <mergeCell ref="W87:Z87"/>
    <mergeCell ref="AA87:AF87"/>
    <mergeCell ref="AG87:AJ87"/>
    <mergeCell ref="AK87:AN87"/>
    <mergeCell ref="AO87:AS87"/>
    <mergeCell ref="AT87:AY87"/>
    <mergeCell ref="A88:J88"/>
    <mergeCell ref="K88:N88"/>
    <mergeCell ref="O88:Q88"/>
    <mergeCell ref="R88:V88"/>
    <mergeCell ref="W88:Z88"/>
    <mergeCell ref="AA88:AF88"/>
    <mergeCell ref="AG88:AJ88"/>
    <mergeCell ref="AK88:AN88"/>
    <mergeCell ref="AO88:AS88"/>
    <mergeCell ref="AT88:AY88"/>
    <mergeCell ref="O89:Q89"/>
    <mergeCell ref="R89:V89"/>
    <mergeCell ref="W89:Z89"/>
    <mergeCell ref="AA89:AF89"/>
    <mergeCell ref="AG89:AJ89"/>
    <mergeCell ref="AK89:AN89"/>
    <mergeCell ref="AO89:AS89"/>
    <mergeCell ref="AT89:AY89"/>
    <mergeCell ref="X90:AB90"/>
    <mergeCell ref="A91:AY91"/>
    <mergeCell ref="A92:AY92"/>
    <mergeCell ref="A93:AY93"/>
    <mergeCell ref="U94:AS94"/>
    <mergeCell ref="U95:AB95"/>
    <mergeCell ref="AC95:AK95"/>
    <mergeCell ref="AL95:AS95"/>
    <mergeCell ref="M96:P96"/>
    <mergeCell ref="Q96:T96"/>
    <mergeCell ref="U96:X96"/>
    <mergeCell ref="Y96:AB96"/>
    <mergeCell ref="AC96:AG96"/>
    <mergeCell ref="AH96:AK96"/>
    <mergeCell ref="AL96:AO96"/>
    <mergeCell ref="AP96:AS96"/>
    <mergeCell ref="A97:I97"/>
    <mergeCell ref="J97:L97"/>
    <mergeCell ref="M97:P97"/>
    <mergeCell ref="Q97:T97"/>
    <mergeCell ref="U97:X97"/>
    <mergeCell ref="Y97:AB97"/>
    <mergeCell ref="AC97:AG97"/>
    <mergeCell ref="AH97:AK97"/>
    <mergeCell ref="AL97:AO97"/>
    <mergeCell ref="AP97:AS97"/>
    <mergeCell ref="AT97:AY97"/>
    <mergeCell ref="A98:I98"/>
    <mergeCell ref="J98:L98"/>
    <mergeCell ref="M98:P98"/>
    <mergeCell ref="Q98:T98"/>
    <mergeCell ref="U98:X98"/>
    <mergeCell ref="Y98:AB98"/>
    <mergeCell ref="AC98:AG98"/>
    <mergeCell ref="AH98:AK98"/>
    <mergeCell ref="AL98:AO98"/>
    <mergeCell ref="AP98:AS98"/>
    <mergeCell ref="AT98:AY98"/>
    <mergeCell ref="A99:I99"/>
    <mergeCell ref="J99:L99"/>
    <mergeCell ref="M99:P99"/>
    <mergeCell ref="Q99:T99"/>
    <mergeCell ref="U99:X99"/>
    <mergeCell ref="Y99:AB99"/>
    <mergeCell ref="AC99:AG99"/>
    <mergeCell ref="AH99:AK99"/>
    <mergeCell ref="AL99:AO99"/>
    <mergeCell ref="AP99:AS99"/>
    <mergeCell ref="AT99:AY99"/>
    <mergeCell ref="A100:I100"/>
    <mergeCell ref="J100:L100"/>
    <mergeCell ref="M100:P100"/>
    <mergeCell ref="Q100:T100"/>
    <mergeCell ref="U100:X100"/>
    <mergeCell ref="Y100:AB100"/>
    <mergeCell ref="AC100:AG100"/>
    <mergeCell ref="AH100:AK100"/>
    <mergeCell ref="AL100:AO100"/>
    <mergeCell ref="AP100:AS100"/>
    <mergeCell ref="AT100:AY100"/>
    <mergeCell ref="A101:I101"/>
    <mergeCell ref="J101:L101"/>
    <mergeCell ref="M101:P101"/>
    <mergeCell ref="Q101:T101"/>
    <mergeCell ref="U101:X101"/>
    <mergeCell ref="Y101:AB101"/>
    <mergeCell ref="AC101:AG101"/>
    <mergeCell ref="AH101:AK101"/>
    <mergeCell ref="AL101:AO101"/>
    <mergeCell ref="AP101:AS101"/>
    <mergeCell ref="AT101:AY101"/>
    <mergeCell ref="A103:L103"/>
    <mergeCell ref="R103:W103"/>
    <mergeCell ref="Z103:AG103"/>
    <mergeCell ref="AJ103:AQ103"/>
    <mergeCell ref="R104:W104"/>
    <mergeCell ref="Z104:AG104"/>
    <mergeCell ref="AJ104:AQ104"/>
    <mergeCell ref="A106:Q106"/>
    <mergeCell ref="R106:W106"/>
    <mergeCell ref="Z106:AG106"/>
    <mergeCell ref="AJ106:AQ106"/>
    <mergeCell ref="R107:W107"/>
    <mergeCell ref="Z107:AG107"/>
    <mergeCell ref="AJ107:AQ107"/>
    <mergeCell ref="A109:P109"/>
    <mergeCell ref="W109:AJ109"/>
    <mergeCell ref="W110:AJ111"/>
    <mergeCell ref="A110:P111"/>
    <mergeCell ref="AP3:AY7"/>
    <mergeCell ref="AP20:AT21"/>
    <mergeCell ref="AU20:AY21"/>
    <mergeCell ref="M94:T95"/>
    <mergeCell ref="J94:L96"/>
    <mergeCell ref="A70:J71"/>
    <mergeCell ref="AT70:AY71"/>
    <mergeCell ref="K70:N71"/>
    <mergeCell ref="AO70:AS71"/>
    <mergeCell ref="A20:AG25"/>
    <mergeCell ref="AH20:AN25"/>
    <mergeCell ref="A35:O36"/>
    <mergeCell ref="P35:AA36"/>
    <mergeCell ref="AT94:AY96"/>
    <mergeCell ref="A94:I96"/>
    <mergeCell ref="BA3:BK17"/>
  </mergeCells>
  <hyperlinks>
    <hyperlink ref="M33" r:id="rId3" display="mail@qzsu.by "/>
  </hyperlinks>
  <printOptions horizontalCentered="1"/>
  <pageMargins left="0.275590551181102" right="0.275590551181102" top="0.31496062992126" bottom="0.31496062992126" header="0.275590551181102" footer="0.275590551181102"/>
  <pageSetup paperSize="9" orientation="landscape" blackAndWhite="1"/>
  <headerFooter alignWithMargins="0"/>
  <rowBreaks count="3" manualBreakCount="3">
    <brk id="40" max="50" man="1"/>
    <brk id="65" max="50" man="1"/>
    <brk id="89" max="50" man="1"/>
  </rowBreaks>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Лист2">
    <tabColor indexed="12"/>
  </sheetPr>
  <dimension ref="A1:K191"/>
  <sheetViews>
    <sheetView view="pageBreakPreview" zoomScaleNormal="100" topLeftCell="B1" workbookViewId="0">
      <selection activeCell="L1" sqref="L1"/>
    </sheetView>
  </sheetViews>
  <sheetFormatPr defaultColWidth="9" defaultRowHeight="13.8"/>
  <cols>
    <col min="1" max="1" width="0.425925925925926" style="1" hidden="1" customWidth="1"/>
    <col min="2" max="6" width="9.13888888888889" style="2"/>
    <col min="7" max="7" width="12" style="2" customWidth="1"/>
    <col min="8" max="8" width="11.4259259259259" style="2" customWidth="1"/>
    <col min="9" max="9" width="12.287037037037" style="2" customWidth="1"/>
    <col min="10" max="10" width="11.5740740740741" style="2" customWidth="1"/>
    <col min="11" max="11" width="10.287037037037" style="2" customWidth="1"/>
    <col min="12" max="16384" width="9.13888888888889" style="2"/>
  </cols>
  <sheetData>
    <row r="1" ht="9" customHeight="1" spans="1:11">
      <c r="A1" s="3"/>
      <c r="B1" s="4"/>
      <c r="C1" s="4"/>
      <c r="D1" s="4"/>
      <c r="E1" s="4"/>
      <c r="F1" s="4"/>
      <c r="G1" s="4"/>
      <c r="H1" s="4"/>
      <c r="I1" s="4"/>
      <c r="J1" s="4"/>
      <c r="K1" s="4"/>
    </row>
    <row r="2" spans="1:11">
      <c r="A2" s="3"/>
      <c r="B2" s="5" t="s">
        <v>31</v>
      </c>
      <c r="C2" s="5"/>
      <c r="D2" s="5"/>
      <c r="E2" s="5"/>
      <c r="F2" s="5"/>
      <c r="G2" s="5"/>
      <c r="H2" s="5"/>
      <c r="I2" s="5"/>
      <c r="J2" s="5"/>
      <c r="K2" s="5"/>
    </row>
    <row r="3" spans="1:11">
      <c r="A3" s="3"/>
      <c r="B3" s="6" t="s">
        <v>113</v>
      </c>
      <c r="C3" s="6"/>
      <c r="D3" s="6"/>
      <c r="E3" s="6"/>
      <c r="F3" s="6"/>
      <c r="G3" s="6"/>
      <c r="H3" s="6"/>
      <c r="I3" s="6"/>
      <c r="J3" s="6"/>
      <c r="K3" s="6"/>
    </row>
    <row r="4" s="1" customFormat="1" ht="4.2" spans="1:11">
      <c r="A4" s="3"/>
      <c r="B4" s="7"/>
      <c r="C4" s="7"/>
      <c r="D4" s="7"/>
      <c r="E4" s="7"/>
      <c r="F4" s="7"/>
      <c r="G4" s="7"/>
      <c r="H4" s="7"/>
      <c r="I4" s="7"/>
      <c r="J4" s="7"/>
      <c r="K4" s="7"/>
    </row>
    <row r="5" spans="1:11">
      <c r="A5" s="3"/>
      <c r="B5" s="8">
        <v>101</v>
      </c>
      <c r="C5" s="9" t="str">
        <f>IF(Отчет!AL48&gt;=Отчет!AR48," ",FALSE)</f>
        <v> </v>
      </c>
      <c r="D5" s="10"/>
      <c r="E5" s="8">
        <v>109</v>
      </c>
      <c r="F5" s="9" t="str">
        <f>IF(Отчет!AL56&gt;=Отчет!AR56," ",FALSE)</f>
        <v> </v>
      </c>
      <c r="G5" s="10"/>
      <c r="I5" s="4"/>
      <c r="J5" s="4"/>
      <c r="K5" s="4"/>
    </row>
    <row r="6" spans="1:11">
      <c r="A6" s="3"/>
      <c r="B6" s="8">
        <v>102</v>
      </c>
      <c r="C6" s="9" t="str">
        <f>IF(Отчет!AL49&gt;=Отчет!AR49," ",FALSE)</f>
        <v> </v>
      </c>
      <c r="D6" s="10"/>
      <c r="E6" s="8">
        <v>110</v>
      </c>
      <c r="F6" s="9" t="str">
        <f>IF(Отчет!AL57&gt;=Отчет!AR57," ",FALSE)</f>
        <v> </v>
      </c>
      <c r="G6" s="10"/>
      <c r="H6" s="11"/>
      <c r="I6" s="11"/>
      <c r="J6" s="4"/>
      <c r="K6" s="4"/>
    </row>
    <row r="7" spans="1:11">
      <c r="A7" s="3"/>
      <c r="B7" s="8">
        <v>103</v>
      </c>
      <c r="C7" s="9" t="str">
        <f>IF(Отчет!AL50&gt;=Отчет!AR50," ",FALSE)</f>
        <v> </v>
      </c>
      <c r="D7" s="10"/>
      <c r="E7" s="8">
        <v>111</v>
      </c>
      <c r="F7" s="9" t="str">
        <f>IF(Отчет!AL58&gt;=Отчет!AR58," ",FALSE)</f>
        <v> </v>
      </c>
      <c r="G7" s="10"/>
      <c r="H7" s="11"/>
      <c r="I7" s="11"/>
      <c r="J7" s="4"/>
      <c r="K7" s="4"/>
    </row>
    <row r="8" spans="1:11">
      <c r="A8" s="3"/>
      <c r="B8" s="8">
        <v>104</v>
      </c>
      <c r="C8" s="9" t="str">
        <f>IF(Отчет!AL51&gt;=Отчет!AR51," ",FALSE)</f>
        <v> </v>
      </c>
      <c r="D8" s="10"/>
      <c r="E8" s="8">
        <v>113</v>
      </c>
      <c r="F8" s="9" t="str">
        <f>IF(Отчет!AL59&gt;=Отчет!AR59," ",FALSE)</f>
        <v> </v>
      </c>
      <c r="G8" s="10"/>
      <c r="H8" s="11"/>
      <c r="I8" s="11"/>
      <c r="J8" s="4"/>
      <c r="K8" s="4"/>
    </row>
    <row r="9" spans="1:11">
      <c r="A9" s="3"/>
      <c r="B9" s="8">
        <v>105</v>
      </c>
      <c r="C9" s="9" t="str">
        <f>IF(Отчет!AL52&gt;=Отчет!AR52," ",FALSE)</f>
        <v> </v>
      </c>
      <c r="D9" s="10"/>
      <c r="E9" s="8">
        <v>117</v>
      </c>
      <c r="F9" s="9" t="str">
        <f>IF(Отчет!AL61&gt;=Отчет!AR61," ",FALSE)</f>
        <v> </v>
      </c>
      <c r="G9" s="10"/>
      <c r="H9" s="11"/>
      <c r="I9" s="11"/>
      <c r="J9" s="4"/>
      <c r="K9" s="4"/>
    </row>
    <row r="10" spans="1:11">
      <c r="A10" s="3"/>
      <c r="B10" s="8">
        <v>106</v>
      </c>
      <c r="C10" s="9" t="str">
        <f>IF(Отчет!AL53&gt;=Отчет!AR53," ",FALSE)</f>
        <v> </v>
      </c>
      <c r="D10" s="10"/>
      <c r="E10" s="8">
        <v>126</v>
      </c>
      <c r="F10" s="9" t="str">
        <f>IF(Отчет!AL62&gt;=Отчет!AR62," ",FALSE)</f>
        <v> </v>
      </c>
      <c r="G10" s="10"/>
      <c r="H10" s="11"/>
      <c r="I10" s="11"/>
      <c r="J10" s="4"/>
      <c r="K10" s="4"/>
    </row>
    <row r="11" spans="1:11">
      <c r="A11" s="3"/>
      <c r="B11" s="8">
        <v>107</v>
      </c>
      <c r="C11" s="9" t="str">
        <f>IF(Отчет!AL54&gt;=Отчет!AR54," ",FALSE)</f>
        <v> </v>
      </c>
      <c r="D11" s="10"/>
      <c r="E11" s="8">
        <v>130</v>
      </c>
      <c r="F11" s="9" t="str">
        <f>IF(Отчет!AL63&gt;=Отчет!AR63," ",FALSE)</f>
        <v> </v>
      </c>
      <c r="G11" s="10"/>
      <c r="H11" s="11"/>
      <c r="I11" s="11"/>
      <c r="J11" s="4"/>
      <c r="K11" s="4"/>
    </row>
    <row r="12" spans="1:11">
      <c r="A12" s="3"/>
      <c r="B12" s="8">
        <v>108</v>
      </c>
      <c r="C12" s="9" t="str">
        <f>IF(Отчет!AL55&gt;=Отчет!AR55," ",FALSE)</f>
        <v> </v>
      </c>
      <c r="D12" s="10"/>
      <c r="E12" s="8">
        <v>131</v>
      </c>
      <c r="F12" s="9" t="str">
        <f>IF(Отчет!AL64&gt;=Отчет!AR64," ",FALSE)</f>
        <v> </v>
      </c>
      <c r="G12" s="10"/>
      <c r="H12" s="4"/>
      <c r="I12" s="4"/>
      <c r="J12" s="4"/>
      <c r="K12" s="4"/>
    </row>
    <row r="13" s="1" customFormat="1" ht="4.2" spans="1:11">
      <c r="A13" s="3"/>
      <c r="B13" s="3"/>
      <c r="C13" s="3"/>
      <c r="D13" s="12"/>
      <c r="E13" s="13"/>
      <c r="F13" s="14"/>
      <c r="G13" s="12"/>
      <c r="H13" s="3"/>
      <c r="I13" s="3"/>
      <c r="J13" s="3"/>
      <c r="K13" s="3"/>
    </row>
    <row r="14" spans="1:11">
      <c r="A14" s="3"/>
      <c r="B14" s="15" t="s">
        <v>114</v>
      </c>
      <c r="C14" s="15"/>
      <c r="D14" s="15"/>
      <c r="E14" s="15"/>
      <c r="F14" s="15"/>
      <c r="G14" s="15"/>
      <c r="H14" s="15"/>
      <c r="I14" s="15"/>
      <c r="J14" s="15"/>
      <c r="K14" s="15"/>
    </row>
    <row r="15" s="1" customFormat="1" ht="4.2" spans="1:11">
      <c r="A15" s="3"/>
      <c r="B15" s="16"/>
      <c r="C15" s="16"/>
      <c r="D15" s="16"/>
      <c r="E15" s="16"/>
      <c r="F15" s="16"/>
      <c r="G15" s="16"/>
      <c r="H15" s="16"/>
      <c r="I15" s="16"/>
      <c r="J15" s="16"/>
      <c r="K15" s="16"/>
    </row>
    <row r="16" spans="1:11">
      <c r="A16" s="3"/>
      <c r="B16" s="8" t="s">
        <v>115</v>
      </c>
      <c r="C16" s="8" t="s">
        <v>116</v>
      </c>
      <c r="D16" s="10"/>
      <c r="E16" s="10"/>
      <c r="F16" s="10"/>
      <c r="G16" s="10"/>
      <c r="H16" s="4"/>
      <c r="I16" s="4"/>
      <c r="J16" s="4"/>
      <c r="K16" s="4"/>
    </row>
    <row r="17" spans="1:11">
      <c r="A17" s="3"/>
      <c r="B17" s="17" t="str">
        <f>IF(Отчет!AL48&gt;=Отчет!AL49," ",FALSE)</f>
        <v> </v>
      </c>
      <c r="C17" s="17" t="str">
        <f>IF(Отчет!AR48&gt;=Отчет!AR49," ",FALSE)</f>
        <v> </v>
      </c>
      <c r="D17" s="10"/>
      <c r="E17" s="10"/>
      <c r="F17" s="10"/>
      <c r="G17" s="10"/>
      <c r="H17" s="4"/>
      <c r="I17" s="4"/>
      <c r="J17" s="4"/>
      <c r="K17" s="4"/>
    </row>
    <row r="18" s="1" customFormat="1" ht="4.2" spans="1:11">
      <c r="A18" s="3"/>
      <c r="B18" s="3"/>
      <c r="C18" s="3"/>
      <c r="D18" s="12"/>
      <c r="E18" s="12"/>
      <c r="F18" s="12"/>
      <c r="G18" s="12"/>
      <c r="H18" s="3"/>
      <c r="I18" s="3"/>
      <c r="J18" s="3"/>
      <c r="K18" s="3"/>
    </row>
    <row r="19" spans="1:11">
      <c r="A19" s="3"/>
      <c r="B19" s="15" t="s">
        <v>117</v>
      </c>
      <c r="C19" s="15"/>
      <c r="D19" s="15"/>
      <c r="E19" s="15"/>
      <c r="F19" s="15"/>
      <c r="G19" s="15"/>
      <c r="H19" s="15"/>
      <c r="I19" s="15"/>
      <c r="J19" s="15"/>
      <c r="K19" s="15"/>
    </row>
    <row r="20" s="1" customFormat="1" ht="4.2" spans="1:11">
      <c r="A20" s="3"/>
      <c r="B20" s="16"/>
      <c r="C20" s="16"/>
      <c r="D20" s="16"/>
      <c r="E20" s="16"/>
      <c r="F20" s="16"/>
      <c r="G20" s="16"/>
      <c r="H20" s="16"/>
      <c r="I20" s="16"/>
      <c r="J20" s="16"/>
      <c r="K20" s="16"/>
    </row>
    <row r="21" spans="1:11">
      <c r="A21" s="3"/>
      <c r="B21" s="8" t="s">
        <v>115</v>
      </c>
      <c r="C21" s="8" t="s">
        <v>116</v>
      </c>
      <c r="D21" s="4"/>
      <c r="E21" s="4"/>
      <c r="F21" s="4"/>
      <c r="G21" s="4"/>
      <c r="H21" s="4"/>
      <c r="I21" s="4"/>
      <c r="J21" s="4"/>
      <c r="K21" s="4"/>
    </row>
    <row r="22" spans="1:11">
      <c r="A22" s="3"/>
      <c r="B22" s="17" t="str">
        <f>IF(Отчет!AL49&gt;=Отчет!AL50," ",FALSE)</f>
        <v> </v>
      </c>
      <c r="C22" s="17" t="str">
        <f>IF(Отчет!AR49&gt;=Отчет!AR50," ",FALSE)</f>
        <v> </v>
      </c>
      <c r="D22" s="4"/>
      <c r="E22" s="4"/>
      <c r="F22" s="4"/>
      <c r="G22" s="4"/>
      <c r="H22" s="4"/>
      <c r="I22" s="4"/>
      <c r="J22" s="4"/>
      <c r="K22" s="4"/>
    </row>
    <row r="23" s="1" customFormat="1" ht="4.2" spans="1:11">
      <c r="A23" s="3"/>
      <c r="B23" s="3"/>
      <c r="C23" s="3"/>
      <c r="D23" s="3"/>
      <c r="E23" s="3"/>
      <c r="F23" s="3"/>
      <c r="G23" s="3"/>
      <c r="H23" s="3"/>
      <c r="I23" s="3"/>
      <c r="J23" s="3"/>
      <c r="K23" s="3"/>
    </row>
    <row r="24" ht="15" customHeight="1" spans="1:11">
      <c r="A24" s="3"/>
      <c r="B24" s="6" t="s">
        <v>118</v>
      </c>
      <c r="C24" s="6"/>
      <c r="D24" s="6"/>
      <c r="E24" s="6"/>
      <c r="F24" s="6"/>
      <c r="G24" s="6"/>
      <c r="H24" s="6"/>
      <c r="I24" s="6"/>
      <c r="J24" s="6"/>
      <c r="K24" s="6"/>
    </row>
    <row r="25" spans="1:11">
      <c r="A25" s="3"/>
      <c r="B25" s="8" t="s">
        <v>115</v>
      </c>
      <c r="C25" s="8" t="s">
        <v>116</v>
      </c>
      <c r="D25" s="4"/>
      <c r="E25" s="4"/>
      <c r="F25" s="4"/>
      <c r="G25" s="4"/>
      <c r="H25" s="4"/>
      <c r="I25" s="4"/>
      <c r="J25" s="4"/>
      <c r="K25" s="4"/>
    </row>
    <row r="26" spans="1:11">
      <c r="A26" s="3"/>
      <c r="B26" s="17" t="str">
        <f>IF(Отчет!AL51&gt;=Отчет!AL52+Отчет!AL54+Отчет!AL55+Отчет!AL56," ",FALSE)</f>
        <v> </v>
      </c>
      <c r="C26" s="17" t="str">
        <f>IF(Отчет!AR51&gt;=Отчет!AR52+Отчет!AR54+Отчет!AR55+Отчет!AR56," ",FALSE)</f>
        <v> </v>
      </c>
      <c r="D26" s="4"/>
      <c r="E26" s="4"/>
      <c r="F26" s="4"/>
      <c r="G26" s="4"/>
      <c r="H26" s="4"/>
      <c r="I26" s="4"/>
      <c r="J26" s="4"/>
      <c r="K26" s="4"/>
    </row>
    <row r="27" s="1" customFormat="1" ht="4.2" spans="1:11">
      <c r="A27" s="3"/>
      <c r="B27" s="3"/>
      <c r="C27" s="3"/>
      <c r="D27" s="3"/>
      <c r="E27" s="3"/>
      <c r="F27" s="3"/>
      <c r="G27" s="3"/>
      <c r="H27" s="3"/>
      <c r="I27" s="3"/>
      <c r="J27" s="3"/>
      <c r="K27" s="3"/>
    </row>
    <row r="28" spans="1:11">
      <c r="A28" s="3"/>
      <c r="B28" s="18" t="s">
        <v>119</v>
      </c>
      <c r="C28" s="18"/>
      <c r="D28" s="18"/>
      <c r="E28" s="18"/>
      <c r="F28" s="18"/>
      <c r="G28" s="18"/>
      <c r="H28" s="18"/>
      <c r="I28" s="18"/>
      <c r="J28" s="18"/>
      <c r="K28" s="18"/>
    </row>
    <row r="29" s="1" customFormat="1" ht="4.2" spans="1:11">
      <c r="A29" s="3"/>
      <c r="B29" s="19"/>
      <c r="C29" s="19"/>
      <c r="D29" s="19"/>
      <c r="E29" s="19"/>
      <c r="F29" s="19"/>
      <c r="G29" s="19"/>
      <c r="H29" s="19"/>
      <c r="I29" s="19"/>
      <c r="J29" s="19"/>
      <c r="K29" s="19"/>
    </row>
    <row r="30" spans="1:11">
      <c r="A30" s="3"/>
      <c r="B30" s="8" t="s">
        <v>115</v>
      </c>
      <c r="C30" s="8" t="s">
        <v>116</v>
      </c>
      <c r="D30" s="4"/>
      <c r="E30" s="4"/>
      <c r="F30" s="4"/>
      <c r="G30" s="4"/>
      <c r="H30" s="4"/>
      <c r="I30" s="4"/>
      <c r="J30" s="4"/>
      <c r="K30" s="4"/>
    </row>
    <row r="31" spans="1:11">
      <c r="A31" s="3"/>
      <c r="B31" s="17" t="str">
        <f>IF(Отчет!AL52&gt;=Отчет!AL53," ",FALSE)</f>
        <v> </v>
      </c>
      <c r="C31" s="17" t="str">
        <f>IF(Отчет!AR52&gt;=Отчет!AR53," ",FALSE)</f>
        <v> </v>
      </c>
      <c r="D31" s="4"/>
      <c r="E31" s="4"/>
      <c r="F31" s="4"/>
      <c r="G31" s="4"/>
      <c r="H31" s="4"/>
      <c r="I31" s="4"/>
      <c r="J31" s="4"/>
      <c r="K31" s="4"/>
    </row>
    <row r="32" s="1" customFormat="1" ht="4.2" spans="1:11">
      <c r="A32" s="3"/>
      <c r="B32" s="20"/>
      <c r="C32" s="20"/>
      <c r="D32" s="3"/>
      <c r="E32" s="3"/>
      <c r="F32" s="3"/>
      <c r="G32" s="3"/>
      <c r="H32" s="3"/>
      <c r="I32" s="3"/>
      <c r="J32" s="3"/>
      <c r="K32" s="3"/>
    </row>
    <row r="33" ht="15" customHeight="1" spans="1:11">
      <c r="A33" s="3"/>
      <c r="B33" s="21" t="s">
        <v>120</v>
      </c>
      <c r="C33" s="21"/>
      <c r="D33" s="21"/>
      <c r="E33" s="21"/>
      <c r="F33" s="21"/>
      <c r="G33" s="21"/>
      <c r="H33" s="21"/>
      <c r="I33" s="21"/>
      <c r="J33" s="21"/>
      <c r="K33" s="21"/>
    </row>
    <row r="34" spans="1:11">
      <c r="A34" s="3"/>
      <c r="B34" s="8" t="s">
        <v>115</v>
      </c>
      <c r="C34" s="8" t="s">
        <v>116</v>
      </c>
      <c r="D34" s="4"/>
      <c r="E34" s="4"/>
      <c r="F34" s="4"/>
      <c r="G34" s="4"/>
      <c r="H34" s="4"/>
      <c r="I34" s="4"/>
      <c r="J34" s="4"/>
      <c r="K34" s="4"/>
    </row>
    <row r="35" spans="1:11">
      <c r="A35" s="3"/>
      <c r="B35" s="17" t="str">
        <f>IF(Отчет!AL57&gt;=Отчет!AL58+Отчет!AL59," ",FALSE)</f>
        <v> </v>
      </c>
      <c r="C35" s="17" t="str">
        <f>IF(Отчет!AR57&gt;=Отчет!AR58+Отчет!AR59," ",FALSE)</f>
        <v> </v>
      </c>
      <c r="D35" s="4"/>
      <c r="E35" s="4"/>
      <c r="F35" s="4"/>
      <c r="G35" s="4"/>
      <c r="H35" s="4"/>
      <c r="I35" s="4"/>
      <c r="J35" s="4"/>
      <c r="K35" s="4"/>
    </row>
    <row r="36" s="1" customFormat="1" ht="4.2" spans="1:11">
      <c r="A36" s="3"/>
      <c r="B36" s="3"/>
      <c r="C36" s="3"/>
      <c r="D36" s="3"/>
      <c r="E36" s="3"/>
      <c r="F36" s="3"/>
      <c r="G36" s="3"/>
      <c r="H36" s="3"/>
      <c r="I36" s="3"/>
      <c r="J36" s="3"/>
      <c r="K36" s="3"/>
    </row>
    <row r="37" spans="1:11">
      <c r="A37" s="3"/>
      <c r="B37" s="18" t="s">
        <v>121</v>
      </c>
      <c r="C37" s="18"/>
      <c r="D37" s="18"/>
      <c r="E37" s="18"/>
      <c r="F37" s="18"/>
      <c r="G37" s="18"/>
      <c r="H37" s="18"/>
      <c r="I37" s="18"/>
      <c r="J37" s="18"/>
      <c r="K37" s="18"/>
    </row>
    <row r="38" s="1" customFormat="1" ht="4.2" spans="1:11">
      <c r="A38" s="3"/>
      <c r="B38" s="19"/>
      <c r="C38" s="19"/>
      <c r="D38" s="19"/>
      <c r="E38" s="19"/>
      <c r="F38" s="19"/>
      <c r="G38" s="19"/>
      <c r="H38" s="19"/>
      <c r="I38" s="19"/>
      <c r="J38" s="19"/>
      <c r="K38" s="19"/>
    </row>
    <row r="39" spans="1:11">
      <c r="A39" s="3"/>
      <c r="B39" s="8" t="s">
        <v>115</v>
      </c>
      <c r="C39" s="8" t="s">
        <v>116</v>
      </c>
      <c r="D39" s="4"/>
      <c r="E39" s="4"/>
      <c r="F39" s="4"/>
      <c r="G39" s="4"/>
      <c r="H39" s="4"/>
      <c r="I39" s="4"/>
      <c r="J39" s="4"/>
      <c r="K39" s="4"/>
    </row>
    <row r="40" spans="1:11">
      <c r="A40" s="3"/>
      <c r="B40" s="17" t="str">
        <f>IF(Отчет!AL57&gt;=Отчет!AL61," ",FALSE)</f>
        <v> </v>
      </c>
      <c r="C40" s="17" t="str">
        <f>IF(Отчет!AR57&gt;=Отчет!AR61," ",FALSE)</f>
        <v> </v>
      </c>
      <c r="D40" s="4"/>
      <c r="E40" s="4"/>
      <c r="F40" s="4"/>
      <c r="G40" s="4"/>
      <c r="H40" s="4"/>
      <c r="I40" s="4"/>
      <c r="J40" s="4"/>
      <c r="K40" s="4"/>
    </row>
    <row r="41" s="1" customFormat="1" ht="4.2" spans="1:11">
      <c r="A41" s="3"/>
      <c r="B41" s="22"/>
      <c r="C41" s="22"/>
      <c r="D41" s="3"/>
      <c r="E41" s="3"/>
      <c r="F41" s="3"/>
      <c r="G41" s="3"/>
      <c r="H41" s="3"/>
      <c r="I41" s="3"/>
      <c r="J41" s="3"/>
      <c r="K41" s="3"/>
    </row>
    <row r="42" spans="1:11">
      <c r="A42" s="3"/>
      <c r="B42" s="15" t="s">
        <v>122</v>
      </c>
      <c r="C42" s="15"/>
      <c r="D42" s="15"/>
      <c r="E42" s="15"/>
      <c r="F42" s="15"/>
      <c r="G42" s="15"/>
      <c r="H42" s="15"/>
      <c r="I42" s="15"/>
      <c r="J42" s="15"/>
      <c r="K42" s="15"/>
    </row>
    <row r="43" s="1" customFormat="1" ht="4.2" spans="1:11">
      <c r="A43" s="3"/>
      <c r="B43" s="16"/>
      <c r="C43" s="16"/>
      <c r="D43" s="16"/>
      <c r="E43" s="16"/>
      <c r="F43" s="16"/>
      <c r="G43" s="16"/>
      <c r="H43" s="16"/>
      <c r="I43" s="16"/>
      <c r="J43" s="16"/>
      <c r="K43" s="16"/>
    </row>
    <row r="44" spans="1:11">
      <c r="A44" s="3"/>
      <c r="B44" s="8" t="s">
        <v>115</v>
      </c>
      <c r="C44" s="8" t="s">
        <v>116</v>
      </c>
      <c r="D44" s="10"/>
      <c r="E44" s="10"/>
      <c r="F44" s="10"/>
      <c r="G44" s="10"/>
      <c r="H44" s="4"/>
      <c r="I44" s="4"/>
      <c r="J44" s="4"/>
      <c r="K44" s="4"/>
    </row>
    <row r="45" spans="1:11">
      <c r="A45" s="3"/>
      <c r="B45" s="17" t="str">
        <f>IF(Отчет!AL62&lt;=Отчет!AL48," ",FALSE)</f>
        <v> </v>
      </c>
      <c r="C45" s="17" t="str">
        <f>IF(Отчет!AR62&lt;=Отчет!AR48," ",FALSE)</f>
        <v> </v>
      </c>
      <c r="D45" s="10"/>
      <c r="E45" s="10"/>
      <c r="F45" s="10"/>
      <c r="G45" s="10"/>
      <c r="H45" s="4"/>
      <c r="I45" s="4"/>
      <c r="J45" s="4"/>
      <c r="K45" s="4"/>
    </row>
    <row r="46" spans="1:11">
      <c r="A46" s="5" t="s">
        <v>58</v>
      </c>
      <c r="B46" s="5"/>
      <c r="C46" s="5"/>
      <c r="D46" s="5"/>
      <c r="E46" s="5"/>
      <c r="F46" s="5"/>
      <c r="G46" s="5"/>
      <c r="H46" s="5"/>
      <c r="I46" s="5"/>
      <c r="J46" s="5"/>
      <c r="K46" s="4"/>
    </row>
    <row r="47" s="1" customFormat="1" ht="4.2" spans="1:11">
      <c r="A47" s="3"/>
      <c r="B47" s="3"/>
      <c r="C47" s="3"/>
      <c r="D47" s="3"/>
      <c r="E47" s="3"/>
      <c r="F47" s="3"/>
      <c r="G47" s="3"/>
      <c r="H47" s="3"/>
      <c r="I47" s="3"/>
      <c r="J47" s="3"/>
      <c r="K47" s="3"/>
    </row>
    <row r="48" spans="1:11">
      <c r="A48" s="3"/>
      <c r="B48" s="18" t="s">
        <v>113</v>
      </c>
      <c r="C48" s="18"/>
      <c r="D48" s="18"/>
      <c r="E48" s="18"/>
      <c r="F48" s="18"/>
      <c r="G48" s="18"/>
      <c r="H48" s="18"/>
      <c r="I48" s="18"/>
      <c r="J48" s="18"/>
      <c r="K48" s="18"/>
    </row>
    <row r="49" s="1" customFormat="1" ht="4.2" spans="1:11">
      <c r="A49" s="3"/>
      <c r="B49" s="3"/>
      <c r="C49" s="3"/>
      <c r="D49" s="3"/>
      <c r="E49" s="3"/>
      <c r="F49" s="3"/>
      <c r="G49" s="3"/>
      <c r="H49" s="3"/>
      <c r="I49" s="3"/>
      <c r="J49" s="3"/>
      <c r="K49" s="3"/>
    </row>
    <row r="50" spans="1:11">
      <c r="A50" s="3"/>
      <c r="B50" s="23">
        <v>201</v>
      </c>
      <c r="C50" s="24" t="str">
        <f>IF(Отчет!O73&gt;=Отчет!R73," ",FALSE)</f>
        <v> </v>
      </c>
      <c r="D50" s="25"/>
      <c r="E50" s="23">
        <v>210</v>
      </c>
      <c r="F50" s="24" t="str">
        <f>IF(Отчет!O81&gt;=Отчет!R81," ",FALSE)</f>
        <v> </v>
      </c>
      <c r="G50" s="4"/>
      <c r="H50" s="4"/>
      <c r="I50" s="4"/>
      <c r="J50" s="4"/>
      <c r="K50" s="4"/>
    </row>
    <row r="51" spans="1:11">
      <c r="A51" s="3"/>
      <c r="B51" s="23">
        <v>202</v>
      </c>
      <c r="C51" s="24" t="str">
        <f>IF(Отчет!O74&gt;=Отчет!R74," ",FALSE)</f>
        <v> </v>
      </c>
      <c r="D51" s="25"/>
      <c r="E51" s="23">
        <v>211</v>
      </c>
      <c r="F51" s="24" t="str">
        <f>IF(Отчет!O82&gt;=Отчет!R82," ",FALSE)</f>
        <v> </v>
      </c>
      <c r="G51" s="26"/>
      <c r="H51" s="11"/>
      <c r="I51" s="11"/>
      <c r="J51" s="4"/>
      <c r="K51" s="4"/>
    </row>
    <row r="52" spans="1:11">
      <c r="A52" s="3"/>
      <c r="B52" s="23">
        <v>203</v>
      </c>
      <c r="C52" s="24" t="str">
        <f>IF(Отчет!O75&gt;=Отчет!R75," ",FALSE)</f>
        <v> </v>
      </c>
      <c r="D52" s="25"/>
      <c r="E52" s="23">
        <v>212</v>
      </c>
      <c r="F52" s="24" t="str">
        <f>IF(Отчет!O83&gt;=Отчет!R83," ",FALSE)</f>
        <v> </v>
      </c>
      <c r="G52" s="26"/>
      <c r="H52" s="11"/>
      <c r="I52" s="11"/>
      <c r="J52" s="4"/>
      <c r="K52" s="4"/>
    </row>
    <row r="53" spans="1:11">
      <c r="A53" s="3"/>
      <c r="B53" s="23">
        <v>204</v>
      </c>
      <c r="C53" s="24" t="str">
        <f>IF(Отчет!O76&gt;=Отчет!R76," ",FALSE)</f>
        <v> </v>
      </c>
      <c r="D53" s="25"/>
      <c r="E53" s="23">
        <v>213</v>
      </c>
      <c r="F53" s="24" t="str">
        <f>IF(Отчет!O84&gt;=Отчет!R84," ",FALSE)</f>
        <v> </v>
      </c>
      <c r="G53" s="26"/>
      <c r="H53" s="11"/>
      <c r="I53" s="11"/>
      <c r="J53" s="4"/>
      <c r="K53" s="4"/>
    </row>
    <row r="54" spans="1:11">
      <c r="A54" s="3"/>
      <c r="B54" s="23">
        <v>206</v>
      </c>
      <c r="C54" s="24" t="str">
        <f>IF(Отчет!O77&gt;=Отчет!R77," ",FALSE)</f>
        <v> </v>
      </c>
      <c r="D54" s="25"/>
      <c r="E54" s="23">
        <v>217</v>
      </c>
      <c r="F54" s="24" t="str">
        <f>IF(Отчет!O85&gt;=Отчет!R85," ",FALSE)</f>
        <v> </v>
      </c>
      <c r="G54" s="26"/>
      <c r="H54" s="11"/>
      <c r="I54" s="11"/>
      <c r="J54" s="4"/>
      <c r="K54" s="4"/>
    </row>
    <row r="55" spans="1:11">
      <c r="A55" s="3"/>
      <c r="B55" s="23">
        <v>207</v>
      </c>
      <c r="C55" s="24" t="str">
        <f>IF(Отчет!O78&gt;=Отчет!R78," ",FALSE)</f>
        <v> </v>
      </c>
      <c r="D55" s="25"/>
      <c r="E55" s="23">
        <v>218</v>
      </c>
      <c r="F55" s="24" t="str">
        <f>IF(Отчет!O86&gt;=Отчет!R86," ",FALSE)</f>
        <v> </v>
      </c>
      <c r="G55" s="26"/>
      <c r="H55" s="27"/>
      <c r="I55" s="11"/>
      <c r="J55" s="4"/>
      <c r="K55" s="4"/>
    </row>
    <row r="56" spans="1:11">
      <c r="A56" s="3"/>
      <c r="B56" s="23">
        <v>208</v>
      </c>
      <c r="C56" s="24" t="str">
        <f>IF(Отчет!O79&gt;=Отчет!R79," ",FALSE)</f>
        <v> </v>
      </c>
      <c r="D56" s="25"/>
      <c r="E56" s="23">
        <v>220</v>
      </c>
      <c r="F56" s="24" t="str">
        <f>IF(Отчет!O87&gt;=Отчет!R87," ",FALSE)</f>
        <v> </v>
      </c>
      <c r="G56" s="26"/>
      <c r="H56" s="26"/>
      <c r="I56" s="4"/>
      <c r="J56" s="4"/>
      <c r="K56" s="4"/>
    </row>
    <row r="57" spans="1:11">
      <c r="A57" s="3"/>
      <c r="B57" s="23">
        <v>209</v>
      </c>
      <c r="C57" s="24" t="str">
        <f>IF(Отчет!O80&gt;=Отчет!R80," ",FALSE)</f>
        <v> </v>
      </c>
      <c r="D57" s="25"/>
      <c r="E57" s="23">
        <v>221</v>
      </c>
      <c r="F57" s="24" t="str">
        <f>IF(Отчет!O88&gt;=Отчет!R88," ",FALSE)</f>
        <v> </v>
      </c>
      <c r="G57" s="26"/>
      <c r="H57" s="26"/>
      <c r="I57" s="4"/>
      <c r="J57" s="4"/>
      <c r="K57" s="4"/>
    </row>
    <row r="58" spans="1:11">
      <c r="A58" s="3"/>
      <c r="B58" s="11"/>
      <c r="C58" s="11"/>
      <c r="D58" s="25"/>
      <c r="E58" s="11"/>
      <c r="F58" s="11"/>
      <c r="G58" s="26"/>
      <c r="H58" s="26"/>
      <c r="I58" s="4"/>
      <c r="J58" s="4"/>
      <c r="K58" s="4"/>
    </row>
    <row r="59" spans="1:11">
      <c r="A59" s="3"/>
      <c r="B59" s="18" t="s">
        <v>123</v>
      </c>
      <c r="C59" s="18"/>
      <c r="D59" s="18"/>
      <c r="E59" s="18"/>
      <c r="F59" s="18"/>
      <c r="G59" s="18"/>
      <c r="H59" s="18"/>
      <c r="I59" s="18"/>
      <c r="J59" s="18"/>
      <c r="K59" s="18"/>
    </row>
    <row r="60" s="1" customFormat="1" ht="4.2" spans="1:11">
      <c r="A60" s="3"/>
      <c r="B60" s="3"/>
      <c r="C60" s="3"/>
      <c r="D60" s="28"/>
      <c r="E60" s="28"/>
      <c r="F60" s="29"/>
      <c r="G60" s="29"/>
      <c r="H60" s="29"/>
      <c r="I60" s="3"/>
      <c r="J60" s="3"/>
      <c r="K60" s="3"/>
    </row>
    <row r="61" spans="1:11">
      <c r="A61" s="3"/>
      <c r="B61" s="23">
        <v>201</v>
      </c>
      <c r="C61" s="24" t="str">
        <f>IF(Отчет!O73&gt;=Отчет!AG73," ",FALSE)</f>
        <v> </v>
      </c>
      <c r="D61" s="25"/>
      <c r="E61" s="23">
        <v>210</v>
      </c>
      <c r="F61" s="24" t="str">
        <f>IF(Отчет!O81&gt;=Отчет!AG81," ",FALSE)</f>
        <v> </v>
      </c>
      <c r="G61" s="26"/>
      <c r="H61" s="27"/>
      <c r="I61" s="11"/>
      <c r="J61" s="4"/>
      <c r="K61" s="4"/>
    </row>
    <row r="62" spans="1:11">
      <c r="A62" s="3"/>
      <c r="B62" s="23">
        <v>202</v>
      </c>
      <c r="C62" s="24" t="str">
        <f>IF(Отчет!O74&gt;=Отчет!AG74," ",FALSE)</f>
        <v> </v>
      </c>
      <c r="D62" s="25"/>
      <c r="E62" s="23">
        <v>211</v>
      </c>
      <c r="F62" s="24" t="str">
        <f>IF(Отчет!O82&gt;=Отчет!AG82," ",FALSE)</f>
        <v> </v>
      </c>
      <c r="G62" s="26"/>
      <c r="H62" s="11"/>
      <c r="I62" s="11"/>
      <c r="J62" s="4"/>
      <c r="K62" s="4"/>
    </row>
    <row r="63" spans="1:11">
      <c r="A63" s="3"/>
      <c r="B63" s="23">
        <v>203</v>
      </c>
      <c r="C63" s="24" t="str">
        <f>IF(Отчет!O75&gt;=Отчет!AG75," ",FALSE)</f>
        <v> </v>
      </c>
      <c r="D63" s="25"/>
      <c r="E63" s="23">
        <v>212</v>
      </c>
      <c r="F63" s="24" t="str">
        <f>IF(Отчет!O83&gt;=Отчет!AG83," ",FALSE)</f>
        <v> </v>
      </c>
      <c r="G63" s="26"/>
      <c r="H63" s="11"/>
      <c r="I63" s="11"/>
      <c r="J63" s="4"/>
      <c r="K63" s="4"/>
    </row>
    <row r="64" spans="1:11">
      <c r="A64" s="3"/>
      <c r="B64" s="23">
        <v>204</v>
      </c>
      <c r="C64" s="24" t="str">
        <f>IF(Отчет!O76&gt;=Отчет!AG76," ",FALSE)</f>
        <v> </v>
      </c>
      <c r="D64" s="25"/>
      <c r="E64" s="23">
        <v>213</v>
      </c>
      <c r="F64" s="24" t="str">
        <f>IF(Отчет!O84&gt;=Отчет!AG84," ",FALSE)</f>
        <v> </v>
      </c>
      <c r="G64" s="26"/>
      <c r="H64" s="11"/>
      <c r="I64" s="11"/>
      <c r="J64" s="4"/>
      <c r="K64" s="4"/>
    </row>
    <row r="65" spans="1:11">
      <c r="A65" s="3"/>
      <c r="B65" s="23">
        <v>206</v>
      </c>
      <c r="C65" s="24" t="str">
        <f>IF(Отчет!O77&gt;=Отчет!AG77," ",FALSE)</f>
        <v> </v>
      </c>
      <c r="D65" s="25"/>
      <c r="E65" s="23">
        <v>217</v>
      </c>
      <c r="F65" s="24" t="str">
        <f>IF(Отчет!O85&gt;=Отчет!AG85," ",FALSE)</f>
        <v> </v>
      </c>
      <c r="G65" s="26"/>
      <c r="H65" s="11"/>
      <c r="I65" s="11"/>
      <c r="J65" s="4"/>
      <c r="K65" s="4"/>
    </row>
    <row r="66" spans="1:11">
      <c r="A66" s="3"/>
      <c r="B66" s="23">
        <v>207</v>
      </c>
      <c r="C66" s="24" t="str">
        <f>IF(Отчет!O78&gt;=Отчет!AG78," ",FALSE)</f>
        <v> </v>
      </c>
      <c r="D66" s="25"/>
      <c r="E66" s="23">
        <v>218</v>
      </c>
      <c r="F66" s="24" t="str">
        <f>IF(Отчет!O86&gt;=Отчет!AG86," ",FALSE)</f>
        <v> </v>
      </c>
      <c r="G66" s="26"/>
      <c r="H66" s="27"/>
      <c r="I66" s="11"/>
      <c r="J66" s="4"/>
      <c r="K66" s="4"/>
    </row>
    <row r="67" spans="1:11">
      <c r="A67" s="3"/>
      <c r="B67" s="23">
        <v>208</v>
      </c>
      <c r="C67" s="24" t="str">
        <f>IF(Отчет!O79&gt;=Отчет!AG79," ",FALSE)</f>
        <v> </v>
      </c>
      <c r="D67" s="4"/>
      <c r="E67" s="23">
        <v>220</v>
      </c>
      <c r="F67" s="24" t="str">
        <f>IF(Отчет!O87&gt;=Отчет!AG87," ",FALSE)</f>
        <v> </v>
      </c>
      <c r="G67" s="4"/>
      <c r="H67" s="4"/>
      <c r="I67" s="4"/>
      <c r="J67" s="4"/>
      <c r="K67" s="4"/>
    </row>
    <row r="68" spans="1:11">
      <c r="A68" s="3"/>
      <c r="B68" s="23">
        <v>209</v>
      </c>
      <c r="C68" s="24" t="str">
        <f>IF(Отчет!O80&gt;=Отчет!AG80," ",FALSE)</f>
        <v> </v>
      </c>
      <c r="D68" s="4"/>
      <c r="E68" s="23">
        <v>221</v>
      </c>
      <c r="F68" s="24" t="str">
        <f>IF(Отчет!O88&gt;=Отчет!AG88," ",FALSE)</f>
        <v> </v>
      </c>
      <c r="G68" s="4"/>
      <c r="H68" s="4"/>
      <c r="I68" s="4"/>
      <c r="J68" s="4"/>
      <c r="K68" s="4"/>
    </row>
    <row r="69" spans="1:11">
      <c r="A69" s="3"/>
      <c r="B69" s="4"/>
      <c r="C69" s="4"/>
      <c r="D69" s="4"/>
      <c r="E69" s="11"/>
      <c r="F69" s="11"/>
      <c r="G69" s="4"/>
      <c r="H69" s="4"/>
      <c r="I69" s="4"/>
      <c r="J69" s="4"/>
      <c r="K69" s="4"/>
    </row>
    <row r="70" ht="18" customHeight="1" spans="1:11">
      <c r="A70" s="3"/>
      <c r="B70" s="30" t="s">
        <v>124</v>
      </c>
      <c r="C70" s="30"/>
      <c r="D70" s="30"/>
      <c r="E70" s="30"/>
      <c r="F70" s="30"/>
      <c r="G70" s="30"/>
      <c r="H70" s="30"/>
      <c r="I70" s="30"/>
      <c r="J70" s="30"/>
      <c r="K70" s="30"/>
    </row>
    <row r="71" s="1" customFormat="1" ht="4.2" spans="1:11">
      <c r="A71" s="3"/>
      <c r="B71" s="3"/>
      <c r="C71" s="3"/>
      <c r="D71" s="3"/>
      <c r="E71" s="3"/>
      <c r="F71" s="3"/>
      <c r="G71" s="3"/>
      <c r="H71" s="3"/>
      <c r="I71" s="3"/>
      <c r="J71" s="3"/>
      <c r="K71" s="3"/>
    </row>
    <row r="72" spans="1:11">
      <c r="A72" s="3"/>
      <c r="B72" s="23">
        <v>201</v>
      </c>
      <c r="C72" s="24" t="str">
        <f>IF(Отчет!R73&gt;=Отчет!AO73," ",FALSE)</f>
        <v> </v>
      </c>
      <c r="D72" s="4"/>
      <c r="E72" s="23">
        <v>210</v>
      </c>
      <c r="F72" s="24" t="str">
        <f>IF(Отчет!R81&gt;=Отчет!AO81," ",FALSE)</f>
        <v> </v>
      </c>
      <c r="G72" s="4"/>
      <c r="H72" s="4"/>
      <c r="I72" s="4"/>
      <c r="J72" s="4"/>
      <c r="K72" s="4"/>
    </row>
    <row r="73" spans="1:11">
      <c r="A73" s="3"/>
      <c r="B73" s="23">
        <v>202</v>
      </c>
      <c r="C73" s="24" t="str">
        <f>IF(Отчет!R74&gt;=Отчет!AO74," ",FALSE)</f>
        <v> </v>
      </c>
      <c r="D73" s="4"/>
      <c r="E73" s="23">
        <v>211</v>
      </c>
      <c r="F73" s="24" t="str">
        <f>IF(Отчет!R82&gt;=Отчет!AO82," ",FALSE)</f>
        <v> </v>
      </c>
      <c r="G73" s="4"/>
      <c r="H73" s="4"/>
      <c r="I73" s="4"/>
      <c r="J73" s="4"/>
      <c r="K73" s="4"/>
    </row>
    <row r="74" spans="1:11">
      <c r="A74" s="3"/>
      <c r="B74" s="23">
        <v>203</v>
      </c>
      <c r="C74" s="24" t="str">
        <f>IF(Отчет!R75&gt;=Отчет!AO75," ",FALSE)</f>
        <v> </v>
      </c>
      <c r="D74" s="4"/>
      <c r="E74" s="23">
        <v>212</v>
      </c>
      <c r="F74" s="24" t="str">
        <f>IF(Отчет!R83&gt;=Отчет!AO83," ",FALSE)</f>
        <v> </v>
      </c>
      <c r="G74" s="4"/>
      <c r="H74" s="4"/>
      <c r="I74" s="4"/>
      <c r="J74" s="4"/>
      <c r="K74" s="4"/>
    </row>
    <row r="75" spans="1:11">
      <c r="A75" s="3"/>
      <c r="B75" s="23">
        <v>204</v>
      </c>
      <c r="C75" s="24" t="str">
        <f>IF(Отчет!R76&gt;=Отчет!AO76," ",FALSE)</f>
        <v> </v>
      </c>
      <c r="D75" s="4"/>
      <c r="E75" s="23">
        <v>213</v>
      </c>
      <c r="F75" s="24" t="str">
        <f>IF(Отчет!R84&gt;=Отчет!AO84," ",FALSE)</f>
        <v> </v>
      </c>
      <c r="G75" s="4"/>
      <c r="H75" s="4"/>
      <c r="I75" s="4"/>
      <c r="J75" s="4"/>
      <c r="K75" s="4"/>
    </row>
    <row r="76" spans="1:11">
      <c r="A76" s="3"/>
      <c r="B76" s="23">
        <v>206</v>
      </c>
      <c r="C76" s="24" t="str">
        <f>IF(Отчет!R77&gt;=Отчет!AO77," ",FALSE)</f>
        <v> </v>
      </c>
      <c r="D76" s="4"/>
      <c r="E76" s="23">
        <v>217</v>
      </c>
      <c r="F76" s="24" t="str">
        <f>IF(Отчет!R85&gt;=Отчет!AO85," ",FALSE)</f>
        <v> </v>
      </c>
      <c r="G76" s="4"/>
      <c r="H76" s="11"/>
      <c r="I76" s="11"/>
      <c r="J76" s="11"/>
      <c r="K76" s="4"/>
    </row>
    <row r="77" spans="1:11">
      <c r="A77" s="3"/>
      <c r="B77" s="23">
        <v>207</v>
      </c>
      <c r="C77" s="24" t="str">
        <f>IF(Отчет!R78&gt;=Отчет!AO78," ",FALSE)</f>
        <v> </v>
      </c>
      <c r="D77" s="4"/>
      <c r="E77" s="23">
        <v>218</v>
      </c>
      <c r="F77" s="24" t="str">
        <f>IF(Отчет!R86&gt;=Отчет!AO86," ",FALSE)</f>
        <v> </v>
      </c>
      <c r="G77" s="4"/>
      <c r="H77" s="11"/>
      <c r="I77" s="11"/>
      <c r="J77" s="11"/>
      <c r="K77" s="4"/>
    </row>
    <row r="78" spans="1:11">
      <c r="A78" s="3"/>
      <c r="B78" s="23">
        <v>208</v>
      </c>
      <c r="C78" s="24" t="str">
        <f>IF(Отчет!R79&gt;=Отчет!AO79," ",FALSE)</f>
        <v> </v>
      </c>
      <c r="D78" s="4"/>
      <c r="E78" s="23">
        <v>220</v>
      </c>
      <c r="F78" s="24" t="str">
        <f>IF(Отчет!R87&gt;=Отчет!AO87," ",FALSE)</f>
        <v> </v>
      </c>
      <c r="G78" s="4"/>
      <c r="H78" s="11"/>
      <c r="I78" s="11"/>
      <c r="J78" s="11"/>
      <c r="K78" s="4"/>
    </row>
    <row r="79" spans="1:11">
      <c r="A79" s="3"/>
      <c r="B79" s="23">
        <v>209</v>
      </c>
      <c r="C79" s="24" t="str">
        <f>IF(Отчет!R80&gt;=Отчет!AO80," ",FALSE)</f>
        <v> </v>
      </c>
      <c r="D79" s="4"/>
      <c r="E79" s="23">
        <v>221</v>
      </c>
      <c r="F79" s="24" t="str">
        <f>IF(Отчет!R88&gt;=Отчет!AO88," ",FALSE)</f>
        <v> </v>
      </c>
      <c r="G79" s="4"/>
      <c r="H79" s="11"/>
      <c r="I79" s="11"/>
      <c r="J79" s="11"/>
      <c r="K79" s="4"/>
    </row>
    <row r="80" spans="1:11">
      <c r="A80" s="3"/>
      <c r="B80" s="4"/>
      <c r="C80" s="4"/>
      <c r="D80" s="4"/>
      <c r="E80" s="11"/>
      <c r="F80" s="11"/>
      <c r="G80" s="4"/>
      <c r="H80" s="4"/>
      <c r="I80" s="4"/>
      <c r="J80" s="4"/>
      <c r="K80" s="4"/>
    </row>
    <row r="81" ht="18" customHeight="1" spans="1:11">
      <c r="A81" s="3"/>
      <c r="B81" s="30" t="s">
        <v>125</v>
      </c>
      <c r="C81" s="30"/>
      <c r="D81" s="30"/>
      <c r="E81" s="30"/>
      <c r="F81" s="30"/>
      <c r="G81" s="30"/>
      <c r="H81" s="30"/>
      <c r="I81" s="30"/>
      <c r="J81" s="30"/>
      <c r="K81" s="30"/>
    </row>
    <row r="82" s="1" customFormat="1" ht="4.2" spans="1:11">
      <c r="A82" s="3"/>
      <c r="B82" s="3"/>
      <c r="C82" s="3"/>
      <c r="D82" s="3"/>
      <c r="E82" s="3"/>
      <c r="F82" s="3"/>
      <c r="G82" s="3"/>
      <c r="H82" s="3"/>
      <c r="I82" s="3"/>
      <c r="J82" s="3"/>
      <c r="K82" s="3"/>
    </row>
    <row r="83" spans="1:11">
      <c r="A83" s="3"/>
      <c r="B83" s="23">
        <v>201</v>
      </c>
      <c r="C83" s="24" t="str">
        <f>IF(Отчет!W73&gt;=Отчет!AA73," ",FALSE)</f>
        <v> </v>
      </c>
      <c r="D83" s="4"/>
      <c r="E83" s="23">
        <v>210</v>
      </c>
      <c r="F83" s="24" t="str">
        <f>IF(Отчет!W81&gt;=Отчет!AA81," ",FALSE)</f>
        <v> </v>
      </c>
      <c r="G83" s="4"/>
      <c r="H83" s="4"/>
      <c r="I83" s="4"/>
      <c r="J83" s="4"/>
      <c r="K83" s="4"/>
    </row>
    <row r="84" spans="1:11">
      <c r="A84" s="3"/>
      <c r="B84" s="23">
        <v>202</v>
      </c>
      <c r="C84" s="24" t="str">
        <f>IF(Отчет!W74&gt;=Отчет!AA74," ",FALSE)</f>
        <v> </v>
      </c>
      <c r="D84" s="4"/>
      <c r="E84" s="23">
        <v>211</v>
      </c>
      <c r="F84" s="24" t="str">
        <f>IF(Отчет!W82&gt;=Отчет!AA82," ",FALSE)</f>
        <v> </v>
      </c>
      <c r="G84" s="4"/>
      <c r="H84" s="4"/>
      <c r="I84" s="4"/>
      <c r="J84" s="4"/>
      <c r="K84" s="4"/>
    </row>
    <row r="85" spans="1:11">
      <c r="A85" s="3"/>
      <c r="B85" s="23">
        <v>203</v>
      </c>
      <c r="C85" s="24" t="str">
        <f>IF(Отчет!W75&gt;=Отчет!AA75," ",FALSE)</f>
        <v> </v>
      </c>
      <c r="D85" s="4"/>
      <c r="E85" s="23">
        <v>212</v>
      </c>
      <c r="F85" s="24" t="str">
        <f>IF(Отчет!W83&gt;=Отчет!AA83," ",FALSE)</f>
        <v> </v>
      </c>
      <c r="G85" s="4"/>
      <c r="H85" s="4"/>
      <c r="I85" s="4"/>
      <c r="J85" s="4"/>
      <c r="K85" s="4"/>
    </row>
    <row r="86" spans="1:11">
      <c r="A86" s="3"/>
      <c r="B86" s="23">
        <v>204</v>
      </c>
      <c r="C86" s="24" t="str">
        <f>IF(Отчет!W76&gt;=Отчет!AA76," ",FALSE)</f>
        <v> </v>
      </c>
      <c r="D86" s="4"/>
      <c r="E86" s="23">
        <v>213</v>
      </c>
      <c r="F86" s="24" t="str">
        <f>IF(Отчет!W84&gt;=Отчет!AA84," ",FALSE)</f>
        <v> </v>
      </c>
      <c r="G86" s="4"/>
      <c r="H86" s="4"/>
      <c r="I86" s="4"/>
      <c r="J86" s="4"/>
      <c r="K86" s="4"/>
    </row>
    <row r="87" spans="1:11">
      <c r="A87" s="3"/>
      <c r="B87" s="23">
        <v>206</v>
      </c>
      <c r="C87" s="24" t="str">
        <f>IF(Отчет!W77&gt;=Отчет!AA77," ",FALSE)</f>
        <v> </v>
      </c>
      <c r="D87" s="4"/>
      <c r="E87" s="23">
        <v>217</v>
      </c>
      <c r="F87" s="24" t="str">
        <f>IF(Отчет!W85&gt;=Отчет!AA85," ",FALSE)</f>
        <v> </v>
      </c>
      <c r="G87" s="4"/>
      <c r="H87" s="11"/>
      <c r="I87" s="11"/>
      <c r="J87" s="4"/>
      <c r="K87" s="4"/>
    </row>
    <row r="88" spans="1:11">
      <c r="A88" s="3"/>
      <c r="B88" s="23">
        <v>207</v>
      </c>
      <c r="C88" s="24" t="str">
        <f>IF(Отчет!W78&gt;=Отчет!AA78," ",FALSE)</f>
        <v> </v>
      </c>
      <c r="D88" s="4"/>
      <c r="E88" s="23">
        <v>218</v>
      </c>
      <c r="F88" s="24" t="str">
        <f>IF(Отчет!W86&gt;=Отчет!AA86," ",FALSE)</f>
        <v> </v>
      </c>
      <c r="G88" s="4"/>
      <c r="H88" s="11"/>
      <c r="I88" s="11"/>
      <c r="J88" s="4"/>
      <c r="K88" s="4"/>
    </row>
    <row r="89" spans="1:11">
      <c r="A89" s="3"/>
      <c r="B89" s="23">
        <v>208</v>
      </c>
      <c r="C89" s="24" t="str">
        <f>IF(Отчет!W79&gt;=Отчет!AA79," ",FALSE)</f>
        <v> </v>
      </c>
      <c r="D89" s="4"/>
      <c r="E89" s="23">
        <v>220</v>
      </c>
      <c r="F89" s="24" t="str">
        <f>IF(Отчет!W87&gt;=Отчет!AA87," ",FALSE)</f>
        <v> </v>
      </c>
      <c r="G89" s="4"/>
      <c r="H89" s="11"/>
      <c r="I89" s="11"/>
      <c r="J89" s="4"/>
      <c r="K89" s="4"/>
    </row>
    <row r="90" spans="1:11">
      <c r="A90" s="3"/>
      <c r="B90" s="23">
        <v>209</v>
      </c>
      <c r="C90" s="24" t="str">
        <f>IF(Отчет!W80&gt;=Отчет!AA80," ",FALSE)</f>
        <v> </v>
      </c>
      <c r="D90" s="4"/>
      <c r="E90" s="23">
        <v>221</v>
      </c>
      <c r="F90" s="24" t="str">
        <f>IF(Отчет!W88&gt;=Отчет!AA88," ",FALSE)</f>
        <v> </v>
      </c>
      <c r="G90" s="4"/>
      <c r="H90" s="11"/>
      <c r="I90" s="11"/>
      <c r="J90" s="4"/>
      <c r="K90" s="4"/>
    </row>
    <row r="91" spans="1:11">
      <c r="A91" s="3"/>
      <c r="B91" s="11"/>
      <c r="C91" s="11"/>
      <c r="D91" s="11"/>
      <c r="E91" s="11"/>
      <c r="F91" s="11"/>
      <c r="G91" s="11"/>
      <c r="H91" s="11"/>
      <c r="I91" s="11"/>
      <c r="J91" s="11"/>
      <c r="K91" s="11"/>
    </row>
    <row r="92" ht="18" customHeight="1" spans="1:11">
      <c r="A92" s="3"/>
      <c r="B92" s="18" t="s">
        <v>126</v>
      </c>
      <c r="C92" s="18"/>
      <c r="D92" s="18"/>
      <c r="E92" s="18"/>
      <c r="F92" s="18"/>
      <c r="G92" s="18"/>
      <c r="H92" s="18"/>
      <c r="I92" s="18"/>
      <c r="J92" s="18"/>
      <c r="K92" s="18"/>
    </row>
    <row r="93" s="1" customFormat="1" ht="4.2" spans="1:11">
      <c r="A93" s="3"/>
      <c r="B93" s="3"/>
      <c r="C93" s="3"/>
      <c r="D93" s="3"/>
      <c r="E93" s="3"/>
      <c r="F93" s="3"/>
      <c r="G93" s="3"/>
      <c r="H93" s="3"/>
      <c r="I93" s="3"/>
      <c r="J93" s="3"/>
      <c r="K93" s="3"/>
    </row>
    <row r="94" spans="1:11">
      <c r="A94" s="3"/>
      <c r="B94" s="23">
        <v>201</v>
      </c>
      <c r="C94" s="24" t="str">
        <f>IF(Отчет!W73&gt;=Отчет!AK73," ",FALSE)</f>
        <v> </v>
      </c>
      <c r="D94" s="4"/>
      <c r="E94" s="23">
        <v>210</v>
      </c>
      <c r="F94" s="24" t="str">
        <f>IF(Отчет!W81&gt;=Отчет!AK81," ",FALSE)</f>
        <v> </v>
      </c>
      <c r="G94" s="4"/>
      <c r="H94" s="4"/>
      <c r="I94" s="4"/>
      <c r="J94" s="4"/>
      <c r="K94" s="4"/>
    </row>
    <row r="95" spans="1:11">
      <c r="A95" s="3"/>
      <c r="B95" s="23">
        <v>202</v>
      </c>
      <c r="C95" s="24" t="str">
        <f>IF(Отчет!W74&gt;=Отчет!AK74," ",FALSE)</f>
        <v> </v>
      </c>
      <c r="D95" s="4"/>
      <c r="E95" s="23">
        <v>211</v>
      </c>
      <c r="F95" s="24" t="str">
        <f>IF(Отчет!W82&gt;=Отчет!AK82," ",FALSE)</f>
        <v> </v>
      </c>
      <c r="G95" s="4"/>
      <c r="H95" s="4"/>
      <c r="I95" s="4"/>
      <c r="J95" s="4"/>
      <c r="K95" s="4"/>
    </row>
    <row r="96" spans="1:11">
      <c r="A96" s="3"/>
      <c r="B96" s="23">
        <v>203</v>
      </c>
      <c r="C96" s="24" t="str">
        <f>IF(Отчет!W75&gt;=Отчет!AK75," ",FALSE)</f>
        <v> </v>
      </c>
      <c r="D96" s="4"/>
      <c r="E96" s="23">
        <v>212</v>
      </c>
      <c r="F96" s="24" t="str">
        <f>IF(Отчет!W83&gt;=Отчет!AK83," ",FALSE)</f>
        <v> </v>
      </c>
      <c r="G96" s="4"/>
      <c r="H96" s="4"/>
      <c r="I96" s="4"/>
      <c r="J96" s="4"/>
      <c r="K96" s="4"/>
    </row>
    <row r="97" spans="1:11">
      <c r="A97" s="3"/>
      <c r="B97" s="23">
        <v>204</v>
      </c>
      <c r="C97" s="24" t="str">
        <f>IF(Отчет!W76&gt;=Отчет!AK76," ",FALSE)</f>
        <v> </v>
      </c>
      <c r="D97" s="4"/>
      <c r="E97" s="23">
        <v>213</v>
      </c>
      <c r="F97" s="24" t="str">
        <f>IF(Отчет!W84&gt;=Отчет!AK84," ",FALSE)</f>
        <v> </v>
      </c>
      <c r="G97" s="4"/>
      <c r="H97" s="4"/>
      <c r="I97" s="4"/>
      <c r="J97" s="4"/>
      <c r="K97" s="4"/>
    </row>
    <row r="98" spans="1:11">
      <c r="A98" s="3"/>
      <c r="B98" s="23">
        <v>206</v>
      </c>
      <c r="C98" s="24" t="str">
        <f>IF(Отчет!W77&gt;=Отчет!AK77," ",FALSE)</f>
        <v> </v>
      </c>
      <c r="D98" s="4"/>
      <c r="E98" s="23">
        <v>217</v>
      </c>
      <c r="F98" s="24" t="str">
        <f>IF(Отчет!W85&gt;=Отчет!AK85," ",FALSE)</f>
        <v> </v>
      </c>
      <c r="G98" s="4"/>
      <c r="H98" s="4"/>
      <c r="I98" s="4"/>
      <c r="J98" s="4"/>
      <c r="K98" s="4"/>
    </row>
    <row r="99" spans="1:11">
      <c r="A99" s="3"/>
      <c r="B99" s="23">
        <v>207</v>
      </c>
      <c r="C99" s="24" t="str">
        <f>IF(Отчет!W78&gt;=Отчет!AK78," ",FALSE)</f>
        <v> </v>
      </c>
      <c r="D99" s="4"/>
      <c r="E99" s="23">
        <v>218</v>
      </c>
      <c r="F99" s="24" t="str">
        <f>IF(Отчет!W86&gt;=Отчет!AK86," ",FALSE)</f>
        <v> </v>
      </c>
      <c r="G99" s="4"/>
      <c r="H99" s="4"/>
      <c r="I99" s="4"/>
      <c r="J99" s="4"/>
      <c r="K99" s="4"/>
    </row>
    <row r="100" spans="1:11">
      <c r="A100" s="3"/>
      <c r="B100" s="23">
        <v>208</v>
      </c>
      <c r="C100" s="24" t="str">
        <f>IF(Отчет!W79&gt;=Отчет!AK79," ",FALSE)</f>
        <v> </v>
      </c>
      <c r="D100" s="4"/>
      <c r="E100" s="23">
        <v>220</v>
      </c>
      <c r="F100" s="24" t="str">
        <f>IF(Отчет!W87&gt;=Отчет!AK87," ",FALSE)</f>
        <v> </v>
      </c>
      <c r="G100" s="4"/>
      <c r="H100" s="4"/>
      <c r="I100" s="4"/>
      <c r="J100" s="4"/>
      <c r="K100" s="4"/>
    </row>
    <row r="101" spans="1:11">
      <c r="A101" s="3"/>
      <c r="B101" s="23">
        <v>209</v>
      </c>
      <c r="C101" s="24" t="str">
        <f>IF(Отчет!W80&gt;=Отчет!AK80," ",FALSE)</f>
        <v> </v>
      </c>
      <c r="D101" s="4"/>
      <c r="E101" s="23">
        <v>221</v>
      </c>
      <c r="F101" s="24" t="str">
        <f>IF(Отчет!W88&gt;=Отчет!AK88," ",FALSE)</f>
        <v> </v>
      </c>
      <c r="G101" s="4"/>
      <c r="H101" s="4"/>
      <c r="I101" s="4"/>
      <c r="J101" s="4"/>
      <c r="K101" s="4"/>
    </row>
    <row r="102" spans="1:11">
      <c r="A102" s="3"/>
      <c r="B102" s="11"/>
      <c r="C102" s="11"/>
      <c r="D102" s="11"/>
      <c r="E102" s="11"/>
      <c r="F102" s="11"/>
      <c r="G102" s="4"/>
      <c r="H102" s="4"/>
      <c r="I102" s="4"/>
      <c r="J102" s="4"/>
      <c r="K102" s="4"/>
    </row>
    <row r="103" ht="18" customHeight="1" spans="1:11">
      <c r="A103" s="3"/>
      <c r="B103" s="30" t="s">
        <v>127</v>
      </c>
      <c r="C103" s="30"/>
      <c r="D103" s="30"/>
      <c r="E103" s="30"/>
      <c r="F103" s="30"/>
      <c r="G103" s="30"/>
      <c r="H103" s="30"/>
      <c r="I103" s="30"/>
      <c r="J103" s="30"/>
      <c r="K103" s="30"/>
    </row>
    <row r="104" s="1" customFormat="1" ht="4.2" spans="1:11">
      <c r="A104" s="3"/>
      <c r="B104" s="3"/>
      <c r="C104" s="3"/>
      <c r="D104" s="3"/>
      <c r="E104" s="3"/>
      <c r="F104" s="3"/>
      <c r="G104" s="3"/>
      <c r="H104" s="3"/>
      <c r="I104" s="3"/>
      <c r="J104" s="3"/>
      <c r="K104" s="3"/>
    </row>
    <row r="105" spans="1:11">
      <c r="A105" s="4"/>
      <c r="B105" s="23">
        <v>201</v>
      </c>
      <c r="C105" s="24" t="str">
        <f>IF(Отчет!AA73&gt;=Отчет!AT73," ",FALSE)</f>
        <v> </v>
      </c>
      <c r="D105" s="4"/>
      <c r="E105" s="23">
        <v>210</v>
      </c>
      <c r="F105" s="24" t="str">
        <f>IF(Отчет!AA81&gt;=Отчет!AT81," ",FALSE)</f>
        <v> </v>
      </c>
      <c r="G105" s="4"/>
      <c r="H105" s="4"/>
      <c r="I105" s="4"/>
      <c r="J105" s="4"/>
      <c r="K105" s="4"/>
    </row>
    <row r="106" spans="1:11">
      <c r="A106" s="4"/>
      <c r="B106" s="23">
        <v>202</v>
      </c>
      <c r="C106" s="24" t="str">
        <f>IF(Отчет!AA74&gt;=Отчет!AT74," ",FALSE)</f>
        <v> </v>
      </c>
      <c r="D106" s="4"/>
      <c r="E106" s="23">
        <v>211</v>
      </c>
      <c r="F106" s="24" t="str">
        <f>IF(Отчет!AA82&gt;=Отчет!AT82," ",FALSE)</f>
        <v> </v>
      </c>
      <c r="G106" s="4"/>
      <c r="H106" s="4"/>
      <c r="I106" s="4"/>
      <c r="J106" s="4"/>
      <c r="K106" s="4"/>
    </row>
    <row r="107" spans="1:11">
      <c r="A107" s="4"/>
      <c r="B107" s="23">
        <v>203</v>
      </c>
      <c r="C107" s="24" t="str">
        <f>IF(Отчет!AA75&gt;=Отчет!AT75," ",FALSE)</f>
        <v> </v>
      </c>
      <c r="D107" s="4"/>
      <c r="E107" s="23">
        <v>212</v>
      </c>
      <c r="F107" s="24" t="str">
        <f>IF(Отчет!AA83&gt;=Отчет!AT83," ",FALSE)</f>
        <v> </v>
      </c>
      <c r="G107" s="4"/>
      <c r="H107" s="4"/>
      <c r="I107" s="4"/>
      <c r="J107" s="4"/>
      <c r="K107" s="4"/>
    </row>
    <row r="108" spans="1:11">
      <c r="A108" s="4"/>
      <c r="B108" s="23">
        <v>204</v>
      </c>
      <c r="C108" s="24" t="str">
        <f>IF(Отчет!AA76&gt;=Отчет!AT76," ",FALSE)</f>
        <v> </v>
      </c>
      <c r="D108" s="4"/>
      <c r="E108" s="23">
        <v>213</v>
      </c>
      <c r="F108" s="24" t="str">
        <f>IF(Отчет!AA84&gt;=Отчет!AT84," ",FALSE)</f>
        <v> </v>
      </c>
      <c r="G108" s="4"/>
      <c r="H108" s="4"/>
      <c r="I108" s="4"/>
      <c r="J108" s="4"/>
      <c r="K108" s="4"/>
    </row>
    <row r="109" spans="1:11">
      <c r="A109" s="4"/>
      <c r="B109" s="23">
        <v>206</v>
      </c>
      <c r="C109" s="24" t="str">
        <f>IF(Отчет!AA77&gt;=Отчет!AT77," ",FALSE)</f>
        <v> </v>
      </c>
      <c r="D109" s="4"/>
      <c r="E109" s="23">
        <v>217</v>
      </c>
      <c r="F109" s="24" t="str">
        <f>IF(Отчет!AA85&gt;=Отчет!AT85," ",FALSE)</f>
        <v> </v>
      </c>
      <c r="G109" s="4"/>
      <c r="H109" s="4"/>
      <c r="I109" s="4"/>
      <c r="J109" s="4"/>
      <c r="K109" s="4"/>
    </row>
    <row r="110" spans="1:11">
      <c r="A110" s="4"/>
      <c r="B110" s="23">
        <v>207</v>
      </c>
      <c r="C110" s="24" t="str">
        <f>IF(Отчет!AA78&gt;=Отчет!AT78," ",FALSE)</f>
        <v> </v>
      </c>
      <c r="D110" s="4"/>
      <c r="E110" s="23">
        <v>218</v>
      </c>
      <c r="F110" s="24" t="str">
        <f>IF(Отчет!AA86&gt;=Отчет!AT86," ",FALSE)</f>
        <v> </v>
      </c>
      <c r="G110" s="4"/>
      <c r="H110" s="4"/>
      <c r="I110" s="4"/>
      <c r="J110" s="4"/>
      <c r="K110" s="4"/>
    </row>
    <row r="111" spans="1:11">
      <c r="A111" s="4"/>
      <c r="B111" s="23">
        <v>208</v>
      </c>
      <c r="C111" s="24" t="str">
        <f>IF(Отчет!AA79&gt;=Отчет!AT79," ",FALSE)</f>
        <v> </v>
      </c>
      <c r="D111" s="4"/>
      <c r="E111" s="23">
        <v>220</v>
      </c>
      <c r="F111" s="24" t="str">
        <f>IF(Отчет!AA87&gt;=Отчет!AT87," ",FALSE)</f>
        <v> </v>
      </c>
      <c r="G111" s="4"/>
      <c r="H111" s="4"/>
      <c r="I111" s="4"/>
      <c r="J111" s="4"/>
      <c r="K111" s="4"/>
    </row>
    <row r="112" spans="1:11">
      <c r="A112" s="4"/>
      <c r="B112" s="23">
        <v>209</v>
      </c>
      <c r="C112" s="24" t="str">
        <f>IF(Отчет!AA80&gt;=Отчет!AT80," ",FALSE)</f>
        <v> </v>
      </c>
      <c r="D112" s="4"/>
      <c r="E112" s="23">
        <v>221</v>
      </c>
      <c r="F112" s="24" t="str">
        <f>IF(Отчет!AA88&gt;=Отчет!AT88," ",FALSE)</f>
        <v> </v>
      </c>
      <c r="G112" s="4"/>
      <c r="H112" s="4"/>
      <c r="I112" s="4"/>
      <c r="J112" s="4"/>
      <c r="K112" s="4"/>
    </row>
    <row r="113" ht="27" customHeight="1" spans="1:11">
      <c r="A113" s="3"/>
      <c r="B113" s="30" t="s">
        <v>128</v>
      </c>
      <c r="C113" s="30"/>
      <c r="D113" s="30"/>
      <c r="E113" s="30"/>
      <c r="F113" s="30"/>
      <c r="G113" s="30"/>
      <c r="H113" s="30"/>
      <c r="I113" s="30"/>
      <c r="J113" s="30"/>
      <c r="K113" s="30"/>
    </row>
    <row r="114" ht="9" customHeight="1" spans="1:11">
      <c r="A114" s="3"/>
      <c r="B114" s="4"/>
      <c r="C114" s="4"/>
      <c r="D114" s="4"/>
      <c r="E114" s="4"/>
      <c r="F114" s="4"/>
      <c r="G114" s="4"/>
      <c r="H114" s="4"/>
      <c r="I114" s="4"/>
      <c r="J114" s="4"/>
      <c r="K114" s="4"/>
    </row>
    <row r="115" spans="1:11">
      <c r="A115" s="3"/>
      <c r="B115" s="8" t="s">
        <v>115</v>
      </c>
      <c r="C115" s="8" t="s">
        <v>116</v>
      </c>
      <c r="D115" s="8" t="s">
        <v>129</v>
      </c>
      <c r="E115" s="8" t="s">
        <v>130</v>
      </c>
      <c r="F115" s="8" t="s">
        <v>131</v>
      </c>
      <c r="G115" s="8" t="s">
        <v>132</v>
      </c>
      <c r="H115" s="8" t="s">
        <v>133</v>
      </c>
      <c r="I115" s="8" t="s">
        <v>134</v>
      </c>
      <c r="J115" s="4"/>
      <c r="K115" s="4"/>
    </row>
    <row r="116" spans="1:11">
      <c r="A116" s="3"/>
      <c r="B116" s="17" t="str">
        <f>IF(Отчет!O85&gt;=Отчет!O86+Отчет!O87+Отчет!O88," ",FALSE)</f>
        <v> </v>
      </c>
      <c r="C116" s="17" t="str">
        <f>IF(Отчет!R85&gt;=Отчет!R86+Отчет!R87+Отчет!R88," ",FALSE)</f>
        <v> </v>
      </c>
      <c r="D116" s="17" t="str">
        <f>IF(Отчет!W85&gt;=Отчет!W86+Отчет!W87+Отчет!W88," ",FALSE)</f>
        <v> </v>
      </c>
      <c r="E116" s="17" t="str">
        <f>IF(Отчет!AA85&gt;=Отчет!AA86+Отчет!AA87+Отчет!AA88," ",FALSE)</f>
        <v> </v>
      </c>
      <c r="F116" s="17" t="str">
        <f>IF(Отчет!AG85&gt;=Отчет!AG86+Отчет!AG87+Отчет!AG88," ",FALSE)</f>
        <v> </v>
      </c>
      <c r="G116" s="17" t="str">
        <f>IF(Отчет!AK85&gt;=Отчет!AK86+Отчет!AK87+Отчет!AK88," ",FALSE)</f>
        <v> </v>
      </c>
      <c r="H116" s="17" t="str">
        <f>IF(Отчет!AO85&gt;=Отчет!AO86+Отчет!AO87+Отчет!AO88," ",FALSE)</f>
        <v> </v>
      </c>
      <c r="I116" s="17" t="str">
        <f>IF(Отчет!AT85&gt;=Отчет!AT86+Отчет!AT87+Отчет!AT88," ",FALSE)</f>
        <v> </v>
      </c>
      <c r="J116" s="4"/>
      <c r="K116" s="4"/>
    </row>
    <row r="117" ht="9" customHeight="1" spans="1:11">
      <c r="A117" s="3"/>
      <c r="B117" s="4"/>
      <c r="C117" s="4"/>
      <c r="D117" s="4"/>
      <c r="E117" s="4"/>
      <c r="F117" s="4"/>
      <c r="G117" s="4"/>
      <c r="H117" s="4"/>
      <c r="I117" s="4"/>
      <c r="J117" s="4"/>
      <c r="K117" s="4"/>
    </row>
    <row r="118" ht="9" customHeight="1" spans="1:11">
      <c r="A118" s="3"/>
      <c r="B118" s="4"/>
      <c r="C118" s="4"/>
      <c r="D118" s="4"/>
      <c r="E118" s="4"/>
      <c r="F118" s="4"/>
      <c r="G118" s="4"/>
      <c r="H118" s="4"/>
      <c r="I118" s="4"/>
      <c r="J118" s="4"/>
      <c r="K118" s="4"/>
    </row>
    <row r="119" spans="1:11">
      <c r="A119" s="3"/>
      <c r="B119" s="245" t="s">
        <v>87</v>
      </c>
      <c r="C119" s="5"/>
      <c r="D119" s="5"/>
      <c r="E119" s="5"/>
      <c r="F119" s="5"/>
      <c r="G119" s="5"/>
      <c r="H119" s="5"/>
      <c r="I119" s="5"/>
      <c r="J119" s="5"/>
      <c r="K119" s="5"/>
    </row>
    <row r="120" spans="1:11">
      <c r="A120" s="3"/>
      <c r="B120" s="30" t="s">
        <v>113</v>
      </c>
      <c r="C120" s="30"/>
      <c r="D120" s="30"/>
      <c r="E120" s="30"/>
      <c r="F120" s="30"/>
      <c r="G120" s="30"/>
      <c r="H120" s="30"/>
      <c r="I120" s="30"/>
      <c r="J120" s="30"/>
      <c r="K120" s="30"/>
    </row>
    <row r="121" spans="1:11">
      <c r="A121" s="3"/>
      <c r="B121" s="4"/>
      <c r="C121" s="4"/>
      <c r="D121" s="4"/>
      <c r="E121" s="4"/>
      <c r="F121" s="4"/>
      <c r="G121" s="4"/>
      <c r="H121" s="4"/>
      <c r="I121" s="4"/>
      <c r="J121" s="4"/>
      <c r="K121" s="4"/>
    </row>
    <row r="122" spans="1:11">
      <c r="A122" s="3"/>
      <c r="B122" s="23">
        <v>301</v>
      </c>
      <c r="C122" s="24" t="str">
        <f>IF(Отчет!M98&gt;=Отчет!Q98," ",FALSE)</f>
        <v> </v>
      </c>
      <c r="D122" s="25"/>
      <c r="E122" s="23">
        <v>303</v>
      </c>
      <c r="F122" s="24" t="str">
        <f>IF(Отчет!M100&gt;=Отчет!Q100," ",FALSE)</f>
        <v> </v>
      </c>
      <c r="G122" s="26"/>
      <c r="H122" s="4"/>
      <c r="I122" s="4"/>
      <c r="J122" s="4"/>
      <c r="K122" s="4"/>
    </row>
    <row r="123" spans="1:11">
      <c r="A123" s="3"/>
      <c r="B123" s="23">
        <v>302</v>
      </c>
      <c r="C123" s="24" t="str">
        <f>IF(Отчет!M99&gt;=Отчет!Q99," ",FALSE)</f>
        <v> </v>
      </c>
      <c r="D123" s="25"/>
      <c r="E123" s="23">
        <v>304</v>
      </c>
      <c r="F123" s="24" t="str">
        <f>IF(Отчет!M101&gt;=Отчет!Q101," ",FALSE)</f>
        <v> </v>
      </c>
      <c r="G123" s="26"/>
      <c r="H123" s="4"/>
      <c r="I123" s="4"/>
      <c r="J123" s="4"/>
      <c r="K123" s="4"/>
    </row>
    <row r="124" spans="1:11">
      <c r="A124" s="3"/>
      <c r="B124" s="4"/>
      <c r="C124" s="4"/>
      <c r="D124" s="25"/>
      <c r="E124" s="26"/>
      <c r="F124" s="26"/>
      <c r="G124" s="26"/>
      <c r="H124" s="4"/>
      <c r="I124" s="4"/>
      <c r="J124" s="4"/>
      <c r="K124" s="4"/>
    </row>
    <row r="125" spans="1:11">
      <c r="A125" s="3"/>
      <c r="B125" s="30" t="s">
        <v>135</v>
      </c>
      <c r="C125" s="30"/>
      <c r="D125" s="30"/>
      <c r="E125" s="30"/>
      <c r="F125" s="30"/>
      <c r="G125" s="30"/>
      <c r="H125" s="30"/>
      <c r="I125" s="30"/>
      <c r="J125" s="30"/>
      <c r="K125" s="30"/>
    </row>
    <row r="126" spans="1:11">
      <c r="A126" s="3"/>
      <c r="B126" s="4"/>
      <c r="C126" s="4"/>
      <c r="D126" s="4"/>
      <c r="E126" s="4"/>
      <c r="F126" s="4"/>
      <c r="G126" s="4"/>
      <c r="H126" s="4"/>
      <c r="I126" s="4"/>
      <c r="J126" s="4"/>
      <c r="K126" s="4"/>
    </row>
    <row r="127" spans="1:11">
      <c r="A127" s="3"/>
      <c r="B127" s="23">
        <v>301</v>
      </c>
      <c r="C127" s="24" t="str">
        <f>IF(Отчет!M98&gt;=Отчет!U98+Отчет!AC98+Отчет!AL98," ",FALSE)</f>
        <v> </v>
      </c>
      <c r="D127" s="4"/>
      <c r="E127" s="23">
        <v>303</v>
      </c>
      <c r="F127" s="24" t="str">
        <f>IF(Отчет!M100&gt;=Отчет!U100+Отчет!AC100+Отчет!AL100," ",FALSE)</f>
        <v> </v>
      </c>
      <c r="G127" s="4"/>
      <c r="H127" s="4"/>
      <c r="I127" s="4"/>
      <c r="J127" s="4"/>
      <c r="K127" s="4"/>
    </row>
    <row r="128" spans="1:11">
      <c r="A128" s="3"/>
      <c r="B128" s="23">
        <v>302</v>
      </c>
      <c r="C128" s="24" t="str">
        <f>IF(Отчет!M99&gt;=Отчет!U99+Отчет!AC99+Отчет!AL99," ",FALSE)</f>
        <v> </v>
      </c>
      <c r="D128" s="4"/>
      <c r="E128" s="23">
        <v>304</v>
      </c>
      <c r="F128" s="24" t="str">
        <f>IF(Отчет!M101&gt;=Отчет!U101+Отчет!AC101+Отчет!AL101," ",FALSE)</f>
        <v> </v>
      </c>
      <c r="G128" s="4"/>
      <c r="H128" s="4"/>
      <c r="I128" s="4"/>
      <c r="J128" s="4"/>
      <c r="K128" s="4"/>
    </row>
    <row r="129" spans="1:11">
      <c r="A129" s="3"/>
      <c r="B129" s="4"/>
      <c r="C129" s="4"/>
      <c r="D129" s="4"/>
      <c r="E129" s="4"/>
      <c r="F129" s="4"/>
      <c r="G129" s="4"/>
      <c r="H129" s="4"/>
      <c r="I129" s="4"/>
      <c r="J129" s="4"/>
      <c r="K129" s="4"/>
    </row>
    <row r="130" spans="1:11">
      <c r="A130" s="3"/>
      <c r="B130" s="30" t="s">
        <v>136</v>
      </c>
      <c r="C130" s="30"/>
      <c r="D130" s="30"/>
      <c r="E130" s="30"/>
      <c r="F130" s="30"/>
      <c r="G130" s="30"/>
      <c r="H130" s="30"/>
      <c r="I130" s="30"/>
      <c r="J130" s="30"/>
      <c r="K130" s="30"/>
    </row>
    <row r="131" spans="1:11">
      <c r="A131" s="3"/>
      <c r="B131" s="4"/>
      <c r="C131" s="4"/>
      <c r="D131" s="4"/>
      <c r="E131" s="4"/>
      <c r="F131" s="4"/>
      <c r="G131" s="4"/>
      <c r="H131" s="4"/>
      <c r="I131" s="4"/>
      <c r="J131" s="4"/>
      <c r="K131" s="4"/>
    </row>
    <row r="132" spans="1:11">
      <c r="A132" s="3"/>
      <c r="B132" s="23">
        <v>301</v>
      </c>
      <c r="C132" s="24" t="str">
        <f>IF(Отчет!M98&gt;=Отчет!AT98," ",FALSE)</f>
        <v> </v>
      </c>
      <c r="D132" s="4"/>
      <c r="E132" s="23">
        <v>303</v>
      </c>
      <c r="F132" s="24" t="str">
        <f>IF(Отчет!M100&gt;=Отчет!AT100," ",FALSE)</f>
        <v> </v>
      </c>
      <c r="G132" s="4"/>
      <c r="H132" s="4"/>
      <c r="I132" s="4"/>
      <c r="J132" s="4"/>
      <c r="K132" s="4"/>
    </row>
    <row r="133" spans="1:11">
      <c r="A133" s="3"/>
      <c r="B133" s="23">
        <v>302</v>
      </c>
      <c r="C133" s="24" t="str">
        <f>IF(Отчет!M99&gt;=Отчет!AT99," ",FALSE)</f>
        <v> </v>
      </c>
      <c r="D133" s="4"/>
      <c r="E133" s="23">
        <v>304</v>
      </c>
      <c r="F133" s="24" t="str">
        <f>IF(Отчет!M101&gt;=Отчет!AT101," ",FALSE)</f>
        <v> </v>
      </c>
      <c r="G133" s="4"/>
      <c r="H133" s="4"/>
      <c r="I133" s="4"/>
      <c r="J133" s="4"/>
      <c r="K133" s="4"/>
    </row>
    <row r="134" spans="1:11">
      <c r="A134" s="3"/>
      <c r="B134" s="4"/>
      <c r="C134" s="4"/>
      <c r="D134" s="4"/>
      <c r="E134" s="4"/>
      <c r="F134" s="4"/>
      <c r="G134" s="4"/>
      <c r="H134" s="4"/>
      <c r="I134" s="4"/>
      <c r="J134" s="4"/>
      <c r="K134" s="4"/>
    </row>
    <row r="135" spans="1:11">
      <c r="A135" s="3"/>
      <c r="B135" s="6" t="s">
        <v>137</v>
      </c>
      <c r="C135" s="6"/>
      <c r="D135" s="6"/>
      <c r="E135" s="6"/>
      <c r="F135" s="6"/>
      <c r="G135" s="6"/>
      <c r="H135" s="6"/>
      <c r="I135" s="6"/>
      <c r="J135" s="6"/>
      <c r="K135" s="6"/>
    </row>
    <row r="136" spans="1:11">
      <c r="A136" s="3"/>
      <c r="B136" s="4"/>
      <c r="C136" s="4"/>
      <c r="D136" s="4"/>
      <c r="E136" s="4"/>
      <c r="F136" s="4"/>
      <c r="G136" s="4"/>
      <c r="H136" s="4"/>
      <c r="I136" s="4"/>
      <c r="J136" s="4"/>
      <c r="K136" s="4"/>
    </row>
    <row r="137" spans="1:11">
      <c r="A137" s="3"/>
      <c r="B137" s="23">
        <v>301</v>
      </c>
      <c r="C137" s="24" t="str">
        <f>IF(Отчет!Q98&gt;=Отчет!Y98+Отчет!AH98+Отчет!AP98," ",FALSE)</f>
        <v> </v>
      </c>
      <c r="D137" s="4"/>
      <c r="E137" s="23">
        <v>303</v>
      </c>
      <c r="F137" s="24" t="str">
        <f>IF(Отчет!Q100&gt;=Отчет!Y100+Отчет!AH100+Отчет!AP100," ",FALSE)</f>
        <v> </v>
      </c>
      <c r="G137" s="4"/>
      <c r="H137" s="4"/>
      <c r="I137" s="4"/>
      <c r="J137" s="4"/>
      <c r="K137" s="4"/>
    </row>
    <row r="138" spans="1:11">
      <c r="A138" s="3"/>
      <c r="B138" s="23">
        <v>302</v>
      </c>
      <c r="C138" s="24" t="str">
        <f>IF(Отчет!Q99&gt;=Отчет!Y99+Отчет!AH99+Отчет!AP99," ",FALSE)</f>
        <v> </v>
      </c>
      <c r="D138" s="4"/>
      <c r="E138" s="23">
        <v>304</v>
      </c>
      <c r="F138" s="24" t="str">
        <f>IF(Отчет!Q101&gt;=Отчет!Y101+Отчет!AH101+Отчет!AP101," ",FALSE)</f>
        <v> </v>
      </c>
      <c r="G138" s="4"/>
      <c r="H138" s="4"/>
      <c r="I138" s="4"/>
      <c r="J138" s="4"/>
      <c r="K138" s="4"/>
    </row>
    <row r="139" spans="1:11">
      <c r="A139" s="3"/>
      <c r="B139" s="4"/>
      <c r="C139" s="4"/>
      <c r="D139" s="4"/>
      <c r="E139" s="4"/>
      <c r="F139" s="4"/>
      <c r="G139" s="4"/>
      <c r="H139" s="4"/>
      <c r="I139" s="4"/>
      <c r="J139" s="4"/>
      <c r="K139" s="4"/>
    </row>
    <row r="140" spans="1:11">
      <c r="A140" s="3"/>
      <c r="B140" s="245" t="s">
        <v>138</v>
      </c>
      <c r="C140" s="5"/>
      <c r="D140" s="5"/>
      <c r="E140" s="5"/>
      <c r="F140" s="5"/>
      <c r="G140" s="5"/>
      <c r="H140" s="5"/>
      <c r="I140" s="5"/>
      <c r="J140" s="5"/>
      <c r="K140" s="5"/>
    </row>
    <row r="141" spans="1:11">
      <c r="A141" s="3"/>
      <c r="B141" s="4"/>
      <c r="C141" s="4"/>
      <c r="D141" s="4"/>
      <c r="E141" s="4"/>
      <c r="F141" s="4"/>
      <c r="G141" s="4"/>
      <c r="H141" s="4"/>
      <c r="I141" s="4"/>
      <c r="J141" s="4"/>
      <c r="K141" s="4"/>
    </row>
    <row r="142" spans="1:11">
      <c r="A142" s="3"/>
      <c r="B142" s="30" t="s">
        <v>139</v>
      </c>
      <c r="C142" s="30"/>
      <c r="D142" s="30"/>
      <c r="E142" s="30"/>
      <c r="F142" s="30"/>
      <c r="G142" s="30"/>
      <c r="H142" s="30"/>
      <c r="I142" s="30"/>
      <c r="J142" s="30"/>
      <c r="K142" s="30"/>
    </row>
    <row r="143" spans="1:11">
      <c r="A143" s="3"/>
      <c r="B143" s="4"/>
      <c r="C143" s="4"/>
      <c r="D143" s="4"/>
      <c r="E143" s="4"/>
      <c r="F143" s="4"/>
      <c r="G143" s="4"/>
      <c r="H143" s="4"/>
      <c r="I143" s="4"/>
      <c r="J143" s="4"/>
      <c r="K143" s="4"/>
    </row>
    <row r="144" spans="1:11">
      <c r="A144" s="3"/>
      <c r="B144" s="8">
        <v>201</v>
      </c>
      <c r="C144" s="17" t="str">
        <f>IF(Отчет!O73=Отчет!AL48," ",FALSE)</f>
        <v> </v>
      </c>
      <c r="D144" s="4"/>
      <c r="E144" s="4"/>
      <c r="F144" s="4"/>
      <c r="G144" s="4"/>
      <c r="H144" s="4"/>
      <c r="I144" s="4"/>
      <c r="J144" s="4"/>
      <c r="K144" s="4"/>
    </row>
    <row r="145" spans="1:11">
      <c r="A145" s="3"/>
      <c r="B145" s="4"/>
      <c r="C145" s="4"/>
      <c r="D145" s="4"/>
      <c r="E145" s="4"/>
      <c r="F145" s="4"/>
      <c r="G145" s="4"/>
      <c r="H145" s="4"/>
      <c r="I145" s="4"/>
      <c r="J145" s="4"/>
      <c r="K145" s="4"/>
    </row>
    <row r="146" spans="1:11">
      <c r="A146" s="3"/>
      <c r="B146" s="30" t="s">
        <v>140</v>
      </c>
      <c r="C146" s="30"/>
      <c r="D146" s="30"/>
      <c r="E146" s="30"/>
      <c r="F146" s="30"/>
      <c r="G146" s="30"/>
      <c r="H146" s="30"/>
      <c r="I146" s="30"/>
      <c r="J146" s="30"/>
      <c r="K146" s="30"/>
    </row>
    <row r="147" spans="1:11">
      <c r="A147" s="3"/>
      <c r="B147" s="4"/>
      <c r="C147" s="4"/>
      <c r="D147" s="4"/>
      <c r="E147" s="4"/>
      <c r="F147" s="4"/>
      <c r="G147" s="4"/>
      <c r="H147" s="4"/>
      <c r="I147" s="4"/>
      <c r="J147" s="4"/>
      <c r="K147" s="4"/>
    </row>
    <row r="148" spans="1:11">
      <c r="A148" s="3"/>
      <c r="B148" s="8">
        <v>201</v>
      </c>
      <c r="C148" s="17" t="str">
        <f>IF(Отчет!R73=Отчет!AL49," ",FALSE)</f>
        <v> </v>
      </c>
      <c r="D148" s="4"/>
      <c r="E148" s="4"/>
      <c r="F148" s="4"/>
      <c r="G148" s="4"/>
      <c r="H148" s="4"/>
      <c r="I148" s="4"/>
      <c r="J148" s="4"/>
      <c r="K148" s="4"/>
    </row>
    <row r="149" spans="1:11">
      <c r="A149" s="3"/>
      <c r="B149" s="4"/>
      <c r="C149" s="4"/>
      <c r="D149" s="4"/>
      <c r="E149" s="4"/>
      <c r="F149" s="4"/>
      <c r="G149" s="4"/>
      <c r="H149" s="4"/>
      <c r="I149" s="4"/>
      <c r="J149" s="4"/>
      <c r="K149" s="4"/>
    </row>
    <row r="150" spans="1:11">
      <c r="A150" s="3"/>
      <c r="B150" s="30" t="s">
        <v>141</v>
      </c>
      <c r="C150" s="30"/>
      <c r="D150" s="30"/>
      <c r="E150" s="30"/>
      <c r="F150" s="30"/>
      <c r="G150" s="30"/>
      <c r="H150" s="30"/>
      <c r="I150" s="30"/>
      <c r="J150" s="30"/>
      <c r="K150" s="30"/>
    </row>
    <row r="151" spans="1:11">
      <c r="A151" s="3"/>
      <c r="B151" s="4"/>
      <c r="C151" s="4"/>
      <c r="D151" s="4"/>
      <c r="E151" s="4"/>
      <c r="F151" s="4"/>
      <c r="G151" s="4"/>
      <c r="H151" s="4"/>
      <c r="I151" s="4"/>
      <c r="J151" s="4"/>
      <c r="K151" s="4"/>
    </row>
    <row r="152" spans="1:11">
      <c r="A152" s="3"/>
      <c r="B152" s="8">
        <v>201</v>
      </c>
      <c r="C152" s="17" t="str">
        <f>IF(Отчет!W73=Отчет!AL51," ",FALSE)</f>
        <v> </v>
      </c>
      <c r="D152" s="4"/>
      <c r="E152" s="4"/>
      <c r="F152" s="4"/>
      <c r="G152" s="4"/>
      <c r="H152" s="4"/>
      <c r="I152" s="4"/>
      <c r="J152" s="4"/>
      <c r="K152" s="4"/>
    </row>
    <row r="153" spans="1:11">
      <c r="A153" s="3"/>
      <c r="B153" s="4"/>
      <c r="C153" s="4"/>
      <c r="D153" s="4"/>
      <c r="E153" s="4"/>
      <c r="F153" s="4"/>
      <c r="G153" s="4"/>
      <c r="H153" s="4"/>
      <c r="I153" s="4"/>
      <c r="J153" s="4"/>
      <c r="K153" s="4"/>
    </row>
    <row r="154" spans="1:11">
      <c r="A154" s="3"/>
      <c r="B154" s="30" t="s">
        <v>142</v>
      </c>
      <c r="C154" s="30"/>
      <c r="D154" s="30"/>
      <c r="E154" s="30"/>
      <c r="F154" s="30"/>
      <c r="G154" s="30"/>
      <c r="H154" s="30"/>
      <c r="I154" s="30"/>
      <c r="J154" s="30"/>
      <c r="K154" s="30"/>
    </row>
    <row r="155" spans="1:11">
      <c r="A155" s="3"/>
      <c r="B155" s="4"/>
      <c r="C155" s="4"/>
      <c r="D155" s="4"/>
      <c r="E155" s="4"/>
      <c r="F155" s="4"/>
      <c r="G155" s="4"/>
      <c r="H155" s="4"/>
      <c r="I155" s="4"/>
      <c r="J155" s="4"/>
      <c r="K155" s="4"/>
    </row>
    <row r="156" spans="1:11">
      <c r="A156" s="3"/>
      <c r="B156" s="8">
        <v>201</v>
      </c>
      <c r="C156" s="17" t="str">
        <f>IF(Отчет!AA73=Отчет!AL52," ",FALSE)</f>
        <v> </v>
      </c>
      <c r="D156" s="4"/>
      <c r="E156" s="4"/>
      <c r="F156" s="4"/>
      <c r="G156" s="4"/>
      <c r="H156" s="4"/>
      <c r="I156" s="4"/>
      <c r="J156" s="4"/>
      <c r="K156" s="4"/>
    </row>
    <row r="157" spans="1:11">
      <c r="A157" s="3"/>
      <c r="B157" s="4"/>
      <c r="C157" s="4"/>
      <c r="D157" s="4"/>
      <c r="E157" s="4"/>
      <c r="F157" s="4"/>
      <c r="G157" s="4"/>
      <c r="H157" s="4"/>
      <c r="I157" s="4"/>
      <c r="J157" s="4"/>
      <c r="K157" s="4"/>
    </row>
    <row r="158" spans="1:11">
      <c r="A158" s="3"/>
      <c r="B158" s="30" t="s">
        <v>143</v>
      </c>
      <c r="C158" s="30"/>
      <c r="D158" s="30"/>
      <c r="E158" s="30"/>
      <c r="F158" s="30"/>
      <c r="G158" s="30"/>
      <c r="H158" s="30"/>
      <c r="I158" s="30"/>
      <c r="J158" s="30"/>
      <c r="K158" s="30"/>
    </row>
    <row r="159" spans="1:11">
      <c r="A159" s="3"/>
      <c r="B159" s="4"/>
      <c r="C159" s="4"/>
      <c r="D159" s="4"/>
      <c r="E159" s="4"/>
      <c r="F159" s="4"/>
      <c r="G159" s="4"/>
      <c r="H159" s="4"/>
      <c r="I159" s="4"/>
      <c r="J159" s="4"/>
      <c r="K159" s="4"/>
    </row>
    <row r="160" spans="1:11">
      <c r="A160" s="3"/>
      <c r="B160" s="8">
        <v>201</v>
      </c>
      <c r="C160" s="17" t="str">
        <f>IF(Отчет!AG73=Отчет!AR48," ",FALSE)</f>
        <v> </v>
      </c>
      <c r="D160" s="4"/>
      <c r="E160" s="4"/>
      <c r="F160" s="4"/>
      <c r="G160" s="4"/>
      <c r="H160" s="4"/>
      <c r="I160" s="4"/>
      <c r="J160" s="4"/>
      <c r="K160" s="4"/>
    </row>
    <row r="161" spans="1:11">
      <c r="A161" s="3"/>
      <c r="B161" s="4"/>
      <c r="C161" s="4"/>
      <c r="D161" s="4"/>
      <c r="E161" s="4"/>
      <c r="F161" s="4"/>
      <c r="G161" s="4"/>
      <c r="H161" s="4"/>
      <c r="I161" s="4"/>
      <c r="J161" s="4"/>
      <c r="K161" s="4"/>
    </row>
    <row r="162" spans="1:11">
      <c r="A162" s="3"/>
      <c r="B162" s="30" t="s">
        <v>144</v>
      </c>
      <c r="C162" s="30"/>
      <c r="D162" s="30"/>
      <c r="E162" s="30"/>
      <c r="F162" s="30"/>
      <c r="G162" s="30"/>
      <c r="H162" s="30"/>
      <c r="I162" s="30"/>
      <c r="J162" s="30"/>
      <c r="K162" s="30"/>
    </row>
    <row r="163" spans="1:11">
      <c r="A163" s="3"/>
      <c r="B163" s="4"/>
      <c r="C163" s="4"/>
      <c r="D163" s="4"/>
      <c r="E163" s="4"/>
      <c r="F163" s="4"/>
      <c r="G163" s="4"/>
      <c r="H163" s="4"/>
      <c r="I163" s="4"/>
      <c r="J163" s="4"/>
      <c r="K163" s="4"/>
    </row>
    <row r="164" spans="1:11">
      <c r="A164" s="3"/>
      <c r="B164" s="8">
        <v>201</v>
      </c>
      <c r="C164" s="17" t="str">
        <f>IF(Отчет!AK73=Отчет!AR51," ",FALSE)</f>
        <v> </v>
      </c>
      <c r="D164" s="4"/>
      <c r="E164" s="4"/>
      <c r="F164" s="4"/>
      <c r="G164" s="4"/>
      <c r="H164" s="4"/>
      <c r="I164" s="4"/>
      <c r="J164" s="4"/>
      <c r="K164" s="4"/>
    </row>
    <row r="165" spans="1:11">
      <c r="A165" s="3"/>
      <c r="B165" s="4"/>
      <c r="C165" s="4"/>
      <c r="D165" s="4"/>
      <c r="E165" s="4"/>
      <c r="F165" s="4"/>
      <c r="G165" s="4"/>
      <c r="H165" s="4"/>
      <c r="I165" s="4"/>
      <c r="J165" s="4"/>
      <c r="K165" s="4"/>
    </row>
    <row r="166" spans="1:11">
      <c r="A166" s="3"/>
      <c r="B166" s="30" t="s">
        <v>145</v>
      </c>
      <c r="C166" s="30"/>
      <c r="D166" s="30"/>
      <c r="E166" s="30"/>
      <c r="F166" s="30"/>
      <c r="G166" s="30"/>
      <c r="H166" s="30"/>
      <c r="I166" s="30"/>
      <c r="J166" s="30"/>
      <c r="K166" s="30"/>
    </row>
    <row r="167" spans="1:11">
      <c r="A167" s="3"/>
      <c r="B167" s="4"/>
      <c r="C167" s="4"/>
      <c r="D167" s="4"/>
      <c r="E167" s="4"/>
      <c r="F167" s="4"/>
      <c r="G167" s="4"/>
      <c r="H167" s="4"/>
      <c r="I167" s="4"/>
      <c r="J167" s="4"/>
      <c r="K167" s="4"/>
    </row>
    <row r="168" spans="1:11">
      <c r="A168" s="3"/>
      <c r="B168" s="8">
        <v>301</v>
      </c>
      <c r="C168" s="17" t="str">
        <f>IF(Отчет!M98=Отчет!AL53," ",FALSE)</f>
        <v> </v>
      </c>
      <c r="D168" s="4"/>
      <c r="E168" s="4"/>
      <c r="F168" s="4"/>
      <c r="G168" s="4"/>
      <c r="H168" s="4"/>
      <c r="I168" s="4"/>
      <c r="J168" s="4"/>
      <c r="K168" s="4"/>
    </row>
    <row r="169" spans="1:11">
      <c r="A169" s="3"/>
      <c r="B169" s="4"/>
      <c r="C169" s="4"/>
      <c r="D169" s="4"/>
      <c r="E169" s="4"/>
      <c r="F169" s="4"/>
      <c r="G169" s="4"/>
      <c r="H169" s="4"/>
      <c r="I169" s="4"/>
      <c r="J169" s="4"/>
      <c r="K169" s="4"/>
    </row>
    <row r="170" spans="1:11">
      <c r="A170" s="3"/>
      <c r="B170" s="30" t="s">
        <v>146</v>
      </c>
      <c r="C170" s="30"/>
      <c r="D170" s="30"/>
      <c r="E170" s="30"/>
      <c r="F170" s="30"/>
      <c r="G170" s="30"/>
      <c r="H170" s="30"/>
      <c r="I170" s="30"/>
      <c r="J170" s="30"/>
      <c r="K170" s="30"/>
    </row>
    <row r="171" spans="1:11">
      <c r="A171" s="3"/>
      <c r="B171" s="4"/>
      <c r="C171" s="4"/>
      <c r="D171" s="4"/>
      <c r="E171" s="4"/>
      <c r="F171" s="4"/>
      <c r="G171" s="4"/>
      <c r="H171" s="4"/>
      <c r="I171" s="4"/>
      <c r="J171" s="4"/>
      <c r="K171" s="4"/>
    </row>
    <row r="172" spans="1:11">
      <c r="A172" s="3"/>
      <c r="B172" s="8">
        <v>301</v>
      </c>
      <c r="C172" s="17" t="str">
        <f>IF(Отчет!Q98=Отчет!AR53," ",FALSE)</f>
        <v> </v>
      </c>
      <c r="D172" s="4"/>
      <c r="E172" s="4"/>
      <c r="F172" s="4"/>
      <c r="G172" s="4"/>
      <c r="H172" s="4"/>
      <c r="I172" s="4"/>
      <c r="J172" s="4"/>
      <c r="K172" s="4"/>
    </row>
    <row r="173" spans="1:11">
      <c r="A173" s="3"/>
      <c r="B173" s="4"/>
      <c r="C173" s="4"/>
      <c r="D173" s="4"/>
      <c r="E173" s="4"/>
      <c r="F173" s="4"/>
      <c r="G173" s="4"/>
      <c r="H173" s="4"/>
      <c r="I173" s="4"/>
      <c r="J173" s="4"/>
      <c r="K173" s="4"/>
    </row>
    <row r="174" spans="1:11">
      <c r="A174" s="3"/>
      <c r="B174" s="30" t="s">
        <v>147</v>
      </c>
      <c r="C174" s="30"/>
      <c r="D174" s="30"/>
      <c r="E174" s="30"/>
      <c r="F174" s="30"/>
      <c r="G174" s="30"/>
      <c r="H174" s="30"/>
      <c r="I174" s="30"/>
      <c r="J174" s="30"/>
      <c r="K174" s="30"/>
    </row>
    <row r="175" spans="1:11">
      <c r="A175" s="3"/>
      <c r="B175" s="4"/>
      <c r="C175" s="4"/>
      <c r="D175" s="4"/>
      <c r="E175" s="4"/>
      <c r="F175" s="4"/>
      <c r="G175" s="4"/>
      <c r="H175" s="4"/>
      <c r="I175" s="4"/>
      <c r="J175" s="4"/>
      <c r="K175" s="4"/>
    </row>
    <row r="176" spans="1:11">
      <c r="A176" s="3"/>
      <c r="B176" s="8">
        <v>301</v>
      </c>
      <c r="C176" s="17" t="str">
        <f>IF(Отчет!AT98&lt;=Отчет!AT73," ",FALSE)</f>
        <v> </v>
      </c>
      <c r="D176" s="4"/>
      <c r="E176" s="4"/>
      <c r="F176" s="4"/>
      <c r="G176" s="4"/>
      <c r="H176" s="4"/>
      <c r="I176" s="4"/>
      <c r="J176" s="4"/>
      <c r="K176" s="4"/>
    </row>
    <row r="177" spans="1:11">
      <c r="A177" s="3"/>
      <c r="B177" s="4"/>
      <c r="C177" s="4"/>
      <c r="D177" s="4"/>
      <c r="E177" s="4"/>
      <c r="F177" s="4"/>
      <c r="G177" s="4"/>
      <c r="H177" s="4"/>
      <c r="I177" s="4"/>
      <c r="J177" s="4"/>
      <c r="K177" s="4"/>
    </row>
    <row r="178" spans="1:11">
      <c r="A178" s="3"/>
      <c r="B178" s="30" t="s">
        <v>148</v>
      </c>
      <c r="C178" s="30"/>
      <c r="D178" s="30"/>
      <c r="E178" s="30"/>
      <c r="F178" s="30"/>
      <c r="G178" s="30"/>
      <c r="H178" s="30"/>
      <c r="I178" s="30"/>
      <c r="J178" s="30"/>
      <c r="K178" s="30"/>
    </row>
    <row r="179" spans="1:11">
      <c r="A179" s="3"/>
      <c r="B179" s="4"/>
      <c r="C179" s="4"/>
      <c r="D179" s="4"/>
      <c r="E179" s="4"/>
      <c r="F179" s="4"/>
      <c r="G179" s="4"/>
      <c r="H179" s="4"/>
      <c r="I179" s="4"/>
      <c r="J179" s="4"/>
      <c r="K179" s="4"/>
    </row>
    <row r="180" spans="1:11">
      <c r="A180" s="3"/>
      <c r="B180" s="8">
        <v>302</v>
      </c>
      <c r="C180" s="17" t="str">
        <f>IF(Отчет!AT99&lt;=Отчет!AT74," ",FALSE)</f>
        <v> </v>
      </c>
      <c r="D180" s="4"/>
      <c r="E180" s="4"/>
      <c r="F180" s="4"/>
      <c r="G180" s="4"/>
      <c r="H180" s="4"/>
      <c r="I180" s="4"/>
      <c r="J180" s="4"/>
      <c r="K180" s="4"/>
    </row>
    <row r="181" ht="9" customHeight="1" spans="1:11">
      <c r="A181" s="3"/>
      <c r="B181" s="4"/>
      <c r="C181" s="4"/>
      <c r="D181" s="4"/>
      <c r="E181" s="4"/>
      <c r="F181" s="4"/>
      <c r="G181" s="4"/>
      <c r="H181" s="4"/>
      <c r="I181" s="4"/>
      <c r="J181" s="4"/>
      <c r="K181" s="4"/>
    </row>
    <row r="182" spans="1:11">
      <c r="A182" s="3"/>
      <c r="B182" s="6" t="s">
        <v>149</v>
      </c>
      <c r="C182" s="6"/>
      <c r="D182" s="6"/>
      <c r="E182" s="6"/>
      <c r="F182" s="6"/>
      <c r="G182" s="6"/>
      <c r="H182" s="6"/>
      <c r="I182" s="6"/>
      <c r="J182" s="6"/>
      <c r="K182" s="6"/>
    </row>
    <row r="183" ht="9" customHeight="1" spans="1:11">
      <c r="A183" s="3"/>
      <c r="B183" s="4"/>
      <c r="C183" s="4"/>
      <c r="D183" s="4"/>
      <c r="E183" s="4"/>
      <c r="F183" s="4"/>
      <c r="G183" s="4"/>
      <c r="H183" s="4"/>
      <c r="I183" s="4"/>
      <c r="J183" s="4"/>
      <c r="K183" s="4"/>
    </row>
    <row r="184" spans="1:11">
      <c r="A184" s="3"/>
      <c r="B184" s="8">
        <v>303</v>
      </c>
      <c r="C184" s="17" t="str">
        <f>IF(Отчет!AT100&lt;=Отчет!AT80," ",FALSE)</f>
        <v> </v>
      </c>
      <c r="D184" s="4"/>
      <c r="E184" s="4"/>
      <c r="F184" s="4"/>
      <c r="G184" s="4"/>
      <c r="H184" s="4"/>
      <c r="I184" s="4"/>
      <c r="J184" s="4"/>
      <c r="K184" s="4"/>
    </row>
    <row r="185" ht="9" customHeight="1" spans="1:11">
      <c r="A185" s="3"/>
      <c r="B185" s="4"/>
      <c r="C185" s="4"/>
      <c r="D185" s="4"/>
      <c r="E185" s="4"/>
      <c r="F185" s="4"/>
      <c r="G185" s="4"/>
      <c r="H185" s="4"/>
      <c r="I185" s="4"/>
      <c r="J185" s="4"/>
      <c r="K185" s="4"/>
    </row>
    <row r="186" ht="27" customHeight="1" spans="1:11">
      <c r="A186" s="3"/>
      <c r="B186" s="21" t="s">
        <v>150</v>
      </c>
      <c r="C186" s="21"/>
      <c r="D186" s="21"/>
      <c r="E186" s="21"/>
      <c r="F186" s="21"/>
      <c r="G186" s="21"/>
      <c r="H186" s="21"/>
      <c r="I186" s="21"/>
      <c r="J186" s="21"/>
      <c r="K186" s="21"/>
    </row>
    <row r="187" ht="9" customHeight="1" spans="1:11">
      <c r="A187" s="3"/>
      <c r="B187" s="4"/>
      <c r="C187" s="4"/>
      <c r="D187" s="4"/>
      <c r="E187" s="4"/>
      <c r="F187" s="4"/>
      <c r="G187" s="4"/>
      <c r="H187" s="4"/>
      <c r="I187" s="4"/>
      <c r="J187" s="4"/>
      <c r="K187" s="4"/>
    </row>
    <row r="188" spans="1:11">
      <c r="A188" s="3"/>
      <c r="B188" s="8">
        <v>304</v>
      </c>
      <c r="C188" s="17" t="str">
        <f>IF(Отчет!AT101&lt;=Отчет!AT75+Отчет!AT76+Отчет!AT77+Отчет!AT78+Отчет!AT79+Отчет!AT81+Отчет!AT82+Отчет!AT83+Отчет!AT84+Отчет!AT85," ",FALSE)</f>
        <v> </v>
      </c>
      <c r="D188" s="4"/>
      <c r="E188" s="4"/>
      <c r="F188" s="4"/>
      <c r="G188" s="4"/>
      <c r="H188" s="4"/>
      <c r="I188" s="4"/>
      <c r="J188" s="4"/>
      <c r="K188" s="4"/>
    </row>
    <row r="189" spans="1:11">
      <c r="A189" s="3"/>
      <c r="B189" s="4"/>
      <c r="C189" s="4"/>
      <c r="D189" s="4"/>
      <c r="E189" s="4"/>
      <c r="F189" s="4"/>
      <c r="G189" s="4"/>
      <c r="H189" s="4"/>
      <c r="I189" s="4"/>
      <c r="J189" s="4"/>
      <c r="K189" s="4"/>
    </row>
    <row r="190" spans="1:11">
      <c r="A190" s="3"/>
      <c r="B190" s="4"/>
      <c r="C190" s="4"/>
      <c r="D190" s="4"/>
      <c r="E190" s="4"/>
      <c r="F190" s="4"/>
      <c r="G190" s="4"/>
      <c r="H190" s="4"/>
      <c r="I190" s="4"/>
      <c r="J190" s="4"/>
      <c r="K190" s="4"/>
    </row>
    <row r="191" spans="1:11">
      <c r="A191" s="3"/>
      <c r="B191" s="4"/>
      <c r="C191" s="4"/>
      <c r="D191" s="4"/>
      <c r="E191" s="4"/>
      <c r="F191" s="4"/>
      <c r="G191" s="4"/>
      <c r="H191" s="4"/>
      <c r="I191" s="4"/>
      <c r="J191" s="4"/>
      <c r="K191" s="4"/>
    </row>
  </sheetData>
  <mergeCells count="35">
    <mergeCell ref="B2:K2"/>
    <mergeCell ref="B3:K3"/>
    <mergeCell ref="B14:K14"/>
    <mergeCell ref="B19:K19"/>
    <mergeCell ref="B24:K24"/>
    <mergeCell ref="B28:K28"/>
    <mergeCell ref="B33:K33"/>
    <mergeCell ref="B37:K37"/>
    <mergeCell ref="B42:K42"/>
    <mergeCell ref="A46:J46"/>
    <mergeCell ref="B48:K48"/>
    <mergeCell ref="B59:K59"/>
    <mergeCell ref="B70:K70"/>
    <mergeCell ref="B81:K81"/>
    <mergeCell ref="B92:K92"/>
    <mergeCell ref="B103:K103"/>
    <mergeCell ref="B113:K113"/>
    <mergeCell ref="B119:K119"/>
    <mergeCell ref="B120:K120"/>
    <mergeCell ref="B125:K125"/>
    <mergeCell ref="B130:K130"/>
    <mergeCell ref="B135:K135"/>
    <mergeCell ref="B140:K140"/>
    <mergeCell ref="B142:K142"/>
    <mergeCell ref="B146:K146"/>
    <mergeCell ref="B150:K150"/>
    <mergeCell ref="B154:K154"/>
    <mergeCell ref="B158:K158"/>
    <mergeCell ref="B162:K162"/>
    <mergeCell ref="B166:K166"/>
    <mergeCell ref="B170:K170"/>
    <mergeCell ref="B174:K174"/>
    <mergeCell ref="B178:K178"/>
    <mergeCell ref="B182:K182"/>
    <mergeCell ref="B186:K186"/>
  </mergeCells>
  <pageMargins left="0.236220472440945" right="0.236220472440945" top="0.275590551181102" bottom="0.275590551181102" header="0.236220472440945" footer="0.236220472440945"/>
  <pageSetup paperSize="9" scale="97" orientation="portrait" blackAndWhite="1"/>
  <headerFooter/>
  <rowBreaks count="2" manualBreakCount="2">
    <brk id="69" max="10" man="1"/>
    <brk id="129" max="10" man="1"/>
  </rowBreaks>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vt:i4>
      </vt:variant>
    </vt:vector>
  </HeadingPairs>
  <TitlesOfParts>
    <vt:vector size="2" baseType="lpstr">
      <vt:lpstr>Отчет</vt:lpstr>
      <vt:lpstr>Увязка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bondar</dc:creator>
  <cp:lastModifiedBy>ACER</cp:lastModifiedBy>
  <dcterms:created xsi:type="dcterms:W3CDTF">1996-10-08T23:32:00Z</dcterms:created>
  <cp:lastPrinted>2025-03-07T06:45:00Z</cp:lastPrinted>
  <dcterms:modified xsi:type="dcterms:W3CDTF">2025-11-01T08:12:52Z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63229CA9EAD041F9A7F3DC5B9646CE78_12</vt:lpwstr>
  </property>
  <property fmtid="{D5CDD505-2E9C-101B-9397-08002B2CF9AE}" pid="3" name="KSOProductBuildVer">
    <vt:lpwstr>1049-12.2.0.23131</vt:lpwstr>
  </property>
</Properties>
</file>